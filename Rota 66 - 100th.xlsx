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mc:AlternateContent xmlns:mc="http://schemas.openxmlformats.org/markup-compatibility/2006">
    <mc:Choice Requires="x15">
      <x15ac:absPath xmlns:x15ac="http://schemas.microsoft.com/office/spreadsheetml/2010/11/ac" url="https://d.docs.live.net/095676aa3512281d/Viagens/Route 66 - 100th - 2026/"/>
    </mc:Choice>
  </mc:AlternateContent>
  <xr:revisionPtr revIDLastSave="0" documentId="8_{05CF902B-415F-4678-9FE7-5278C802ED53}" xr6:coauthVersionLast="47" xr6:coauthVersionMax="47" xr10:uidLastSave="{00000000-0000-0000-0000-000000000000}"/>
  <bookViews>
    <workbookView xWindow="20" yWindow="820" windowWidth="34560" windowHeight="20200" firstSheet="1" activeTab="1" xr2:uid="{00000000-000D-0000-FFFF-FFFF00000000}"/>
  </bookViews>
  <sheets>
    <sheet name="Lista de Lugares" sheetId="4" r:id="rId1"/>
    <sheet name="Roteiro" sheetId="3" r:id="rId2"/>
    <sheet name="Roteiro Route 66" sheetId="1" r:id="rId3"/>
    <sheet name="Hotels" sheetId="5" r:id="rId4"/>
    <sheet name="POI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3" l="1"/>
  <c r="G55" i="3"/>
  <c r="G54" i="3"/>
  <c r="G53" i="3"/>
  <c r="G52" i="3"/>
  <c r="G51" i="3"/>
  <c r="G50" i="3"/>
  <c r="A38" i="4"/>
  <c r="A39" i="4" s="1"/>
  <c r="A40" i="4" s="1"/>
  <c r="A41" i="4" s="1"/>
  <c r="A42" i="4" s="1"/>
  <c r="D55" i="3"/>
  <c r="D54" i="3"/>
  <c r="D53" i="3"/>
  <c r="D52" i="3"/>
  <c r="D51" i="3"/>
  <c r="D50" i="3"/>
  <c r="D49" i="3"/>
  <c r="H64" i="3"/>
  <c r="F64" i="3"/>
  <c r="G62" i="3"/>
  <c r="D63" i="3"/>
  <c r="D62" i="3"/>
  <c r="G63" i="3"/>
  <c r="D61" i="3"/>
  <c r="D60" i="3"/>
  <c r="D58" i="3"/>
  <c r="A3" i="4"/>
  <c r="A4" i="4" s="1"/>
  <c r="A5" i="4" s="1"/>
  <c r="A6" i="4" s="1"/>
  <c r="A7" i="4" s="1"/>
  <c r="A8" i="4" s="1"/>
  <c r="G3" i="3"/>
  <c r="G5" i="3"/>
  <c r="G6" i="3"/>
  <c r="G7" i="3"/>
  <c r="F8" i="3"/>
  <c r="H8" i="3"/>
  <c r="G61" i="3"/>
  <c r="G60" i="3"/>
  <c r="G59" i="3"/>
  <c r="G58" i="3"/>
  <c r="H56" i="3"/>
  <c r="F56" i="3"/>
  <c r="D48" i="3"/>
  <c r="G49" i="3"/>
  <c r="G48" i="3"/>
  <c r="G47" i="3"/>
  <c r="D47" i="3"/>
  <c r="H45" i="3"/>
  <c r="F45" i="3"/>
  <c r="D44" i="3"/>
  <c r="G44" i="3"/>
  <c r="D43" i="3"/>
  <c r="D42" i="3"/>
  <c r="D41" i="3"/>
  <c r="D40" i="3"/>
  <c r="D39" i="3"/>
  <c r="D38" i="3"/>
  <c r="D37" i="3"/>
  <c r="D34" i="3"/>
  <c r="D33" i="3"/>
  <c r="D32" i="3"/>
  <c r="D31" i="3"/>
  <c r="D30" i="3"/>
  <c r="D29" i="3"/>
  <c r="D26" i="3"/>
  <c r="D25" i="3"/>
  <c r="D24" i="3"/>
  <c r="D23" i="3"/>
  <c r="D22" i="3"/>
  <c r="D21" i="3"/>
  <c r="D20" i="3"/>
  <c r="D19" i="3"/>
  <c r="D16" i="3"/>
  <c r="D15" i="3"/>
  <c r="D14" i="3"/>
  <c r="D13" i="3"/>
  <c r="D12" i="3"/>
  <c r="D11" i="3"/>
  <c r="G39" i="3"/>
  <c r="G40" i="3"/>
  <c r="G41" i="3"/>
  <c r="G43" i="3"/>
  <c r="G42" i="3"/>
  <c r="G38" i="3"/>
  <c r="G37" i="3"/>
  <c r="H35" i="3"/>
  <c r="F35" i="3"/>
  <c r="G34" i="3"/>
  <c r="G33" i="3"/>
  <c r="G32" i="3"/>
  <c r="G31" i="3"/>
  <c r="G30" i="3"/>
  <c r="G29" i="3"/>
  <c r="H17" i="3"/>
  <c r="F17" i="3"/>
  <c r="G10" i="3"/>
  <c r="G11" i="3"/>
  <c r="H27" i="3"/>
  <c r="F27" i="3"/>
  <c r="G26" i="3"/>
  <c r="G23" i="3"/>
  <c r="G24" i="3"/>
  <c r="G25" i="3"/>
  <c r="G22" i="3"/>
  <c r="G21" i="3"/>
  <c r="G20" i="3"/>
  <c r="G19" i="3"/>
  <c r="G16" i="3"/>
  <c r="G14" i="3"/>
  <c r="G15" i="3"/>
  <c r="G13" i="3"/>
  <c r="G12" i="3"/>
  <c r="C10" i="3"/>
  <c r="F51" i="1"/>
  <c r="F52" i="1"/>
  <c r="F53" i="1"/>
  <c r="F54" i="1"/>
  <c r="F55" i="1"/>
  <c r="F56" i="1"/>
  <c r="F57" i="1"/>
  <c r="F58" i="1"/>
  <c r="G45" i="3" l="1"/>
  <c r="G64" i="3"/>
  <c r="G56" i="3"/>
  <c r="G8" i="3"/>
  <c r="G35" i="3"/>
  <c r="G17" i="3"/>
  <c r="C11" i="3"/>
  <c r="C12" i="3" s="1"/>
  <c r="C13" i="3" s="1"/>
  <c r="C14" i="3" s="1"/>
  <c r="C15" i="3" s="1"/>
  <c r="C16" i="3" s="1"/>
  <c r="C19" i="3" s="1"/>
  <c r="C20" i="3" s="1"/>
  <c r="C21" i="3" s="1"/>
  <c r="C22" i="3" s="1"/>
  <c r="C23" i="3" s="1"/>
  <c r="C24" i="3" s="1"/>
  <c r="C25" i="3" s="1"/>
  <c r="C26" i="3" s="1"/>
  <c r="C29" i="3" s="1"/>
  <c r="C30" i="3" s="1"/>
  <c r="C31" i="3" s="1"/>
  <c r="C32" i="3" s="1"/>
  <c r="C33" i="3" s="1"/>
  <c r="C34" i="3" s="1"/>
  <c r="C37" i="3" s="1"/>
  <c r="C38" i="3" s="1"/>
  <c r="C39" i="3" s="1"/>
  <c r="C40" i="3" s="1"/>
  <c r="C41" i="3" s="1"/>
  <c r="C42" i="3" s="1"/>
  <c r="C43" i="3" s="1"/>
  <c r="C44" i="3" s="1"/>
  <c r="C47" i="3" s="1"/>
  <c r="C48" i="3" s="1"/>
  <c r="C49" i="3" s="1"/>
  <c r="C50" i="3" s="1"/>
  <c r="C51" i="3" s="1"/>
  <c r="C52" i="3" s="1"/>
  <c r="C53" i="3" s="1"/>
  <c r="C54" i="3" s="1"/>
  <c r="C55" i="3" s="1"/>
  <c r="G27" i="3"/>
  <c r="A9" i="4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43" i="4" s="1"/>
  <c r="B51" i="1"/>
  <c r="B52" i="1" s="1"/>
  <c r="B53" i="1" s="1"/>
  <c r="B54" i="1" s="1"/>
  <c r="B55" i="1" s="1"/>
  <c r="B56" i="1" s="1"/>
  <c r="B57" i="1" s="1"/>
  <c r="B58" i="1" s="1"/>
  <c r="B2" i="1"/>
  <c r="C58" i="3" l="1"/>
  <c r="A45" i="4"/>
  <c r="A44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B3" i="1"/>
  <c r="C59" i="3" l="1"/>
  <c r="C60" i="3" s="1"/>
  <c r="C61" i="3" s="1"/>
  <c r="C62" i="3" s="1"/>
  <c r="C63" i="3" s="1"/>
</calcChain>
</file>

<file path=xl/sharedStrings.xml><?xml version="1.0" encoding="utf-8"?>
<sst xmlns="http://schemas.openxmlformats.org/spreadsheetml/2006/main" count="518" uniqueCount="305">
  <si>
    <t>#</t>
  </si>
  <si>
    <t>Local</t>
  </si>
  <si>
    <t>Cidade</t>
  </si>
  <si>
    <t>Estado</t>
  </si>
  <si>
    <t>Address</t>
  </si>
  <si>
    <t>POI Google</t>
  </si>
  <si>
    <t>Chicago Airport (ORD)</t>
  </si>
  <si>
    <t>Chicago</t>
  </si>
  <si>
    <t>Illinois</t>
  </si>
  <si>
    <t>5300 S Howell Ave, Milwaukee, WI 53207, Estados Unidos</t>
  </si>
  <si>
    <t>https://maps.app.goo.gl/ABs5dASu3n27zehT7</t>
  </si>
  <si>
    <t>Eagle Rider Chicago</t>
  </si>
  <si>
    <t>415 W Touhy Ave, Des Plaines, IL 60018, EUA</t>
  </si>
  <si>
    <t>https://maps.app.goo.gl/LWjx8VTsyecWPhBe8</t>
  </si>
  <si>
    <t>Red Roof Inn Chicago-O'Hare Airport/ Arlington Hts</t>
  </si>
  <si>
    <t>22 W Algonquin Rd, Arlington Heights, IL 60005, Estados Unidos</t>
  </si>
  <si>
    <t>https://maps.app.goo.gl/KbifRsNazxVcD4Uq7</t>
  </si>
  <si>
    <t>Route 66 Pier</t>
  </si>
  <si>
    <t>600 E Grand Ave #138, Chicago, IL 60611, Estados Unidos</t>
  </si>
  <si>
    <t>https://maps.app.goo.gl/AYj3D4cLDCBefFT1A</t>
  </si>
  <si>
    <t>Historic Route 66 Begin Sign</t>
  </si>
  <si>
    <t>122 S Michigan Ave Suite 1390-G20, Chicago, IL 60603, Estados Unidos</t>
  </si>
  <si>
    <t>https://maps.app.goo.gl/q9eKjqCrQKiKcoao7</t>
  </si>
  <si>
    <t>Route 66 Park</t>
  </si>
  <si>
    <t>Joliet</t>
  </si>
  <si>
    <t>920 N Broadway St, Joliet, IL 60435, Estados Unidos</t>
  </si>
  <si>
    <t>https://maps.app.goo.gl/KoPsnrZJBGXD44Pu5</t>
  </si>
  <si>
    <t>Jitters Coffee House</t>
  </si>
  <si>
    <t>178 N Chicago St, Joliet, IL 60432, Estados Unidos</t>
  </si>
  <si>
    <t>https://maps.app.goo.gl/WHNikiU6TPDjoeTC7</t>
  </si>
  <si>
    <t>Joliet Area Historical Museum</t>
  </si>
  <si>
    <t>204 N Ottawa St, Joliet, IL 60432, Estados Unidos</t>
  </si>
  <si>
    <t>https://maps.app.goo.gl/61cUu23BzUxbWw5Q9</t>
  </si>
  <si>
    <t>Route 66 Association of Illinois</t>
  </si>
  <si>
    <t>Pontiac</t>
  </si>
  <si>
    <t>110 W Howard St, Pontiac, IL 61764, Estados Unidos</t>
  </si>
  <si>
    <t>https://maps.app.goo.gl/xta59hXaHMwqU7SJ7</t>
  </si>
  <si>
    <t>Red Roof Inn Springfield, IL</t>
  </si>
  <si>
    <t>Springfield</t>
  </si>
  <si>
    <t>3200 Singer Ave, Springfield, IL 62703, Estados Unidos</t>
  </si>
  <si>
    <t>https://maps.app.goo.gl/QX1hD3rivmXDV5TV9</t>
  </si>
  <si>
    <t>Gateway Arch National Park</t>
  </si>
  <si>
    <t>St. Louis</t>
  </si>
  <si>
    <t>Missouri</t>
  </si>
  <si>
    <t>St. Louis, MO 63102, Estados Unidos</t>
  </si>
  <si>
    <t>https://maps.app.goo.gl/LN5wkVXuzJ9BLxk89</t>
  </si>
  <si>
    <t>Route 66 Convenience Store</t>
  </si>
  <si>
    <t>St. Clair</t>
  </si>
  <si>
    <t>920 N Commercial Ave, St Clair, MO 63077, Estados Unidos</t>
  </si>
  <si>
    <t>https://maps.app.goo.gl/E6JuHBZSaQq68b8N9</t>
  </si>
  <si>
    <t>Murals of Cuba</t>
  </si>
  <si>
    <t>Cuba</t>
  </si>
  <si>
    <t>506 W Washington St, Cuba, MO 65453, Estados Unidos</t>
  </si>
  <si>
    <t>https://maps.app.goo.gl/41djfKHaA2pLcim68</t>
  </si>
  <si>
    <t>Blue's Too Restaurant</t>
  </si>
  <si>
    <t>Newburg</t>
  </si>
  <si>
    <t>Main St, Newburg, MO 65550, Estados Unidos</t>
  </si>
  <si>
    <t>https://maps.app.goo.gl/b5H56pTtw9rhKhcj7</t>
  </si>
  <si>
    <t>Taco John´s</t>
  </si>
  <si>
    <t>Lebanon</t>
  </si>
  <si>
    <t>1215 Millcreek Rd, Lebanon, MO 65536, Estados Unidos</t>
  </si>
  <si>
    <t>https://maps.app.goo.gl/92RMQxMKBx3dFWgm6</t>
  </si>
  <si>
    <t>Tuka Tacos</t>
  </si>
  <si>
    <t>1602 E Kearney St, Springfield, MO 65803, Estados Unidos</t>
  </si>
  <si>
    <t>https://maps.app.goo.gl/XSqmapGAj7x5zeBQA</t>
  </si>
  <si>
    <t>Route 66 Mural Park</t>
  </si>
  <si>
    <t>Joplin</t>
  </si>
  <si>
    <t>629-621 S Main St, Joplin, MO 64801, Estados Unidos</t>
  </si>
  <si>
    <t>https://maps.app.goo.gl/ZRsvaGWmhdK3ahqv9</t>
  </si>
  <si>
    <t>Days Inn by Wyndham Joplin</t>
  </si>
  <si>
    <t>3500 South Rangeline Road, Joplin, MO 64804, Estados Unidos</t>
  </si>
  <si>
    <t>https://maps.app.goo.gl/ygU6ui1svD5uFi7Z6</t>
  </si>
  <si>
    <t>Cars on the Route</t>
  </si>
  <si>
    <t>Galena</t>
  </si>
  <si>
    <t>Kansas</t>
  </si>
  <si>
    <t>119 N Main St, Galena, KS 66739, Estados Unidos</t>
  </si>
  <si>
    <t>https://maps.app.goo.gl/Rhujj1gwhR6ECvp28</t>
  </si>
  <si>
    <t>J.M. Davis Arms &amp; Historical Museum</t>
  </si>
  <si>
    <t>Claremore</t>
  </si>
  <si>
    <t>Oklahoma</t>
  </si>
  <si>
    <t>330 N J M Davis Blvd, Claremore, OK 74017, Estados Unidos</t>
  </si>
  <si>
    <t>https://maps.app.goo.gl/bjN1pXDkBwguN3aw8</t>
  </si>
  <si>
    <t>Quicktrip</t>
  </si>
  <si>
    <t>Tulsa</t>
  </si>
  <si>
    <t>1202 W 23rd St, Tulsa, OK 74107, Estados Unidos</t>
  </si>
  <si>
    <t>https://maps.app.goo.gl/rNT5q8DDQWNnyzRD9</t>
  </si>
  <si>
    <t>Rock Cafe</t>
  </si>
  <si>
    <t>Stroud</t>
  </si>
  <si>
    <t>114 W Main St, Stroud, OK 74079, Estados Unidos</t>
  </si>
  <si>
    <t>https://maps.app.goo.gl/Do4dmPdJDYWtAXxG8</t>
  </si>
  <si>
    <t>Lake Overholser Iron Bridge</t>
  </si>
  <si>
    <t>Bethany</t>
  </si>
  <si>
    <t>8703-8709 Overholser Dr, Bethany, OK 73008, Estados Unidos</t>
  </si>
  <si>
    <t>https://maps.app.goo.gl/xGXmeG1SqtyFsudp6</t>
  </si>
  <si>
    <t>Howard Johnson by Wyndham Oklahoma City</t>
  </si>
  <si>
    <t>Oklahoma City</t>
  </si>
  <si>
    <t>400 S Meridian Ave, Oklahoma City, OK 73108, Estados Unidos</t>
  </si>
  <si>
    <t>https://maps.app.goo.gl/Xgoi35NhEVqJZaK1A</t>
  </si>
  <si>
    <t>Lucille's Historic Highway Gas Station</t>
  </si>
  <si>
    <t>Hydro</t>
  </si>
  <si>
    <t>3004 U.S. Route 66, Hydro, OK 73048, Estados Unidos</t>
  </si>
  <si>
    <t>https://maps.app.goo.gl/2dyRoDX2KUC548s68</t>
  </si>
  <si>
    <t>Oklahoma Route 66 Museum</t>
  </si>
  <si>
    <t>Clinton</t>
  </si>
  <si>
    <t>2229 W Gary Blvd, Clinton, OK 73601, Estados Unidos</t>
  </si>
  <si>
    <t>https://maps.app.goo.gl/1AaeLXFFnWFC7TMK9</t>
  </si>
  <si>
    <t>Conoco Tower Station &amp; U-Drop Inn Café</t>
  </si>
  <si>
    <t>Shamrock</t>
  </si>
  <si>
    <t>105 E 12th St, Shamrock, TX 79079, Estados Unidos</t>
  </si>
  <si>
    <t>https://maps.app.goo.gl/o7Mre4rh1FQ45e8f7</t>
  </si>
  <si>
    <t>Cadilac Ranch</t>
  </si>
  <si>
    <t>Amarillo</t>
  </si>
  <si>
    <t>Texas</t>
  </si>
  <si>
    <t>13651 I-40 Frontage Rd, Amarillo, TX 79124, Estados Unidos</t>
  </si>
  <si>
    <t>https://maps.app.goo.gl/4s1QGMkrY1kUS9YV9</t>
  </si>
  <si>
    <t>Midpoint Café / Midpoint Route 66 Sign</t>
  </si>
  <si>
    <t>Adrian</t>
  </si>
  <si>
    <t>305 Historic Rte 66, Adrian, TX 79001, Estados Unidos</t>
  </si>
  <si>
    <t>https://maps.app.goo.gl/Km8XnFgi6mSQkdju8</t>
  </si>
  <si>
    <t>Blue Swallow Motel</t>
  </si>
  <si>
    <t>Tucumcari</t>
  </si>
  <si>
    <t>New Mexico</t>
  </si>
  <si>
    <t>815 E Rte 66 Blvd, Tucumcari, NM 88401, Estados Unidos</t>
  </si>
  <si>
    <t>https://maps.app.goo.gl/DyUWzv6v3Rw69rex5</t>
  </si>
  <si>
    <t>Blue Hole</t>
  </si>
  <si>
    <t>Santa Rosa</t>
  </si>
  <si>
    <t>Santa Rosa, NM 88435, EUA</t>
  </si>
  <si>
    <t>https://maps.app.goo.gl/6966HKUzgvhrgGsFA</t>
  </si>
  <si>
    <t>Tijeras Canyon Historical Marker</t>
  </si>
  <si>
    <t>Tijeras</t>
  </si>
  <si>
    <t>Tijeras, NM 87059, Estados Unidos</t>
  </si>
  <si>
    <t>https://maps.app.goo.gl/XL8VjKDjqd7t7qkr9</t>
  </si>
  <si>
    <t>Days Inn &amp; Suites by Wyndham Albuquerque North</t>
  </si>
  <si>
    <t>Albuquerque</t>
  </si>
  <si>
    <t>5101 Ellison North East, Albuquerque, NM</t>
  </si>
  <si>
    <t>https://maps.app.goo.gl/Rdf4d7v9uefYGabb7</t>
  </si>
  <si>
    <t>Historic El Rancho Hotel</t>
  </si>
  <si>
    <t>Gallup</t>
  </si>
  <si>
    <t>1000 E Hwy 66, Gallup, NM 87301, Estados Unidos</t>
  </si>
  <si>
    <t>https://maps.app.goo.gl/N1fjD7ABB1KfJE2U7</t>
  </si>
  <si>
    <t>Wigwam Motel</t>
  </si>
  <si>
    <t>Holrook</t>
  </si>
  <si>
    <t>Arizona</t>
  </si>
  <si>
    <t>811 W Hopi Dr, Holbrook, AZ 86025, Estados Unidos</t>
  </si>
  <si>
    <t>https://maps.app.goo.gl/apLoChw9GaLhT8Fa7</t>
  </si>
  <si>
    <t>Standin' on the corner park</t>
  </si>
  <si>
    <t>Winslow</t>
  </si>
  <si>
    <t>66 W 2nd St, Winslow, AZ 86047, Estados Unidos</t>
  </si>
  <si>
    <t>https://maps.app.goo.gl/PWutaifeCXQjqQVc8</t>
  </si>
  <si>
    <t>Shell (Gas Station)</t>
  </si>
  <si>
    <t>Grand Canyon</t>
  </si>
  <si>
    <t>US-89 Miles N OF Flagstaff, Cameron, AZ 86020, Estados Unidos</t>
  </si>
  <si>
    <t>https://maps.app.goo.gl/idsJWSoDGWdrg9CSA</t>
  </si>
  <si>
    <t>Paria Canyon-Vermilion Cliffs Wilderness Area</t>
  </si>
  <si>
    <t>US-89A, Marble Canyon, AZ 86036, Estados Unidos</t>
  </si>
  <si>
    <t>https://maps.app.goo.gl/34ezh7q8aRbGTjA87</t>
  </si>
  <si>
    <t>Winona Station</t>
  </si>
  <si>
    <t>Flagstaff</t>
  </si>
  <si>
    <t>13673 Townsend-Winona Rd, Flagstaff, AZ 86004, Estados Unidos</t>
  </si>
  <si>
    <t>https://maps.app.goo.gl/j99RVzcPooV1k4xg7</t>
  </si>
  <si>
    <t>The Overland Hotel Downtown Flagstaff</t>
  </si>
  <si>
    <t>801 W Rte 66, Flagstaff, AZ 86001, Estados Unidos</t>
  </si>
  <si>
    <t>https://maps.app.goo.gl/ppYqpRb8ZwN4oNqUA</t>
  </si>
  <si>
    <t>Pete's Route 66 Gas Station Museum</t>
  </si>
  <si>
    <t>Williams</t>
  </si>
  <si>
    <t>101 E Rte 66, Williams, AZ 86046, Estados Unidos</t>
  </si>
  <si>
    <t>https://maps.app.goo.gl/thfXfB8Po6mEA15M8</t>
  </si>
  <si>
    <t>Route 66-Seligman</t>
  </si>
  <si>
    <t>Seligman</t>
  </si>
  <si>
    <t>523-521 W Old 66, Seligman, AZ 86337, Estados Unidos</t>
  </si>
  <si>
    <t>https://maps.app.goo.gl/LPxCxLWP46bCBWs57</t>
  </si>
  <si>
    <t>Arizona Route 66 Museum</t>
  </si>
  <si>
    <t>Kingman</t>
  </si>
  <si>
    <t>120 W Andy Devine Ave #2, Kingman, AZ 86401, Estados Unidos</t>
  </si>
  <si>
    <t>https://maps.app.goo.gl/vh8rY9MGSrgfRDiZA</t>
  </si>
  <si>
    <t>Hover Dam</t>
  </si>
  <si>
    <t>Las Vegas</t>
  </si>
  <si>
    <t>Nevada</t>
  </si>
  <si>
    <t>https://maps.app.goo.gl/2MskRKYGPtNaEPhs9</t>
  </si>
  <si>
    <t>Excalibur Casino &amp; Hotel</t>
  </si>
  <si>
    <t>3850 Las Vegas Boulevard South, Las Vegas, NV 89109, Estados Unidos</t>
  </si>
  <si>
    <t>https://maps.app.goo.gl/ZtDYkoHeK3EWthu36</t>
  </si>
  <si>
    <t>Disney California</t>
  </si>
  <si>
    <t>Date</t>
  </si>
  <si>
    <t>Departure</t>
  </si>
  <si>
    <t>Arrival</t>
  </si>
  <si>
    <t>Distance</t>
  </si>
  <si>
    <t>Time</t>
  </si>
  <si>
    <t>Riding</t>
  </si>
  <si>
    <t>Keeping the Kicks on Route 66</t>
  </si>
  <si>
    <t>Miles</t>
  </si>
  <si>
    <t>Km</t>
  </si>
  <si>
    <t>https://maps.app.goo.gl/fQdAHSHL7Bfh1X6d9</t>
  </si>
  <si>
    <t>Stop</t>
  </si>
  <si>
    <t>Subtotal</t>
  </si>
  <si>
    <t>https://maps.app.goo.gl/QcxA1xjdzGP8Uk5EA</t>
  </si>
  <si>
    <t>https://maps.app.goo.gl/4MTfrRAuKyoS3RFE9</t>
  </si>
  <si>
    <t>https://maps.app.goo.gl/5cYpqcSECrGLGpU77</t>
  </si>
  <si>
    <t>https://maps.app.goo.gl/3R9ueNqM9Ax7Hx8b9</t>
  </si>
  <si>
    <t>https://maps.app.goo.gl/EshnYPYP1ZCVXfFr5</t>
  </si>
  <si>
    <t>https://maps.app.goo.gl/L29b7FAk7hTEdV7o8</t>
  </si>
  <si>
    <t>https://maps.app.goo.gl/GRA1AZRjNFUp294q8</t>
  </si>
  <si>
    <t>https://maps.app.goo.gl/MPzCZ2zq8WAUgTzGA</t>
  </si>
  <si>
    <t>https://maps.app.goo.gl/MBA3hCR8CwFCAzv49</t>
  </si>
  <si>
    <t>https://maps.app.goo.gl/ST8JqadEtwz8fESi9</t>
  </si>
  <si>
    <t>https://maps.app.goo.gl/7SKfFR4ZDazEKBym8</t>
  </si>
  <si>
    <t>https://maps.app.goo.gl/ABUro3bfgoqFu2Ta7</t>
  </si>
  <si>
    <t>https://maps.app.goo.gl/QthhfL1KJaFScZ6JA</t>
  </si>
  <si>
    <t>https://maps.app.goo.gl/W7zMtanJiBsFmWANA</t>
  </si>
  <si>
    <t>https://maps.app.goo.gl/VYQS2PinLHLvp5Jq6</t>
  </si>
  <si>
    <t>https://maps.app.goo.gl/34upmyiziSfWPB1M9</t>
  </si>
  <si>
    <t>https://maps.app.goo.gl/wjKx9ypHBmitMQun7</t>
  </si>
  <si>
    <t>https://maps.app.goo.gl/iZSNPpXwTTMA8Vcc6</t>
  </si>
  <si>
    <t>https://maps.app.goo.gl/r5wi6wFtwe1zozEB7</t>
  </si>
  <si>
    <t>https://maps.app.goo.gl/JFXDVXY7c6B4gkmP6</t>
  </si>
  <si>
    <t>https://maps.app.goo.gl/gJhEobZZ2HeYWjZB7</t>
  </si>
  <si>
    <t>https://maps.app.goo.gl/t2qtg6BJobLiYFLk7</t>
  </si>
  <si>
    <t>https://maps.app.goo.gl/Y5MTGs6fkuRvQGiG8</t>
  </si>
  <si>
    <t>https://maps.app.goo.gl/ekb2jbBaS9MibmNb8</t>
  </si>
  <si>
    <t>https://maps.app.goo.gl/S4RZfoA2vRwBJJpJ6</t>
  </si>
  <si>
    <t>https://maps.app.goo.gl/EsgAr6ogniYt5nmp9</t>
  </si>
  <si>
    <t>https://maps.app.goo.gl/hoq7641UPdriTcsP7</t>
  </si>
  <si>
    <t>https://maps.app.goo.gl/aisTWBQziKVFQrB3A</t>
  </si>
  <si>
    <t>https://maps.app.goo.gl/p5ZWgEELnuVX3Ae79</t>
  </si>
  <si>
    <t>https://maps.app.goo.gl/XBXLGh5gzxcMnZfHA</t>
  </si>
  <si>
    <t>https://maps.app.goo.gl/ENmP6sHBVq1U2Hh16</t>
  </si>
  <si>
    <t>https://maps.app.goo.gl/i8eZuozBNnzrqZU36</t>
  </si>
  <si>
    <t>https://maps.app.goo.gl/SNZDTUbBrh4TaZZD7</t>
  </si>
  <si>
    <t>https://maps.app.goo.gl/VRAonpZT63UeoF266</t>
  </si>
  <si>
    <t>https://maps.app.goo.gl/mEc2USboykeYpbir9</t>
  </si>
  <si>
    <t>https://maps.app.goo.gl/B7Vha9K3eNsKpEY86</t>
  </si>
  <si>
    <t>https://maps.app.goo.gl/FQiChHqtAKRzqqTU6</t>
  </si>
  <si>
    <t>https://maps.app.goo.gl/jRbHFkkpyLnpRtU29</t>
  </si>
  <si>
    <t>https://maps.app.goo.gl/VEhxZK2dRgsdxC8U7</t>
  </si>
  <si>
    <t>https://maps.app.goo.gl/R1RCkZ4Wsys57Lj68</t>
  </si>
  <si>
    <t>https://maps.app.goo.gl/YRSTiLAAs7Ni7uVQ8</t>
  </si>
  <si>
    <t>Rota 66 — Chicago → Santa Monica, com desvio para o Grand Canyon</t>
  </si>
  <si>
    <t>Total aproximado de percurso (km)</t>
  </si>
  <si>
    <t>Quantidade de paradas</t>
  </si>
  <si>
    <t>Dia</t>
  </si>
  <si>
    <t>Parada</t>
  </si>
  <si>
    <t>Cidade / parada</t>
  </si>
  <si>
    <t>Milhas</t>
  </si>
  <si>
    <t>Kms</t>
  </si>
  <si>
    <t>Tempo estimado</t>
  </si>
  <si>
    <t>Ponto turístico recomendado</t>
  </si>
  <si>
    <t>Endereço</t>
  </si>
  <si>
    <t>Custo</t>
  </si>
  <si>
    <t>Observações</t>
  </si>
  <si>
    <t>Needles</t>
  </si>
  <si>
    <t>California</t>
  </si>
  <si>
    <t>El Garces Train Depot</t>
  </si>
  <si>
    <t>Barstow</t>
  </si>
  <si>
    <t>Route 66 Mother Road Museum / Harvey House</t>
  </si>
  <si>
    <t>Victorville</t>
  </si>
  <si>
    <t>California Route 66 Museum</t>
  </si>
  <si>
    <t>San Bernardino</t>
  </si>
  <si>
    <t>Original McDonald’s Site and Museum</t>
  </si>
  <si>
    <t>Pasadena</t>
  </si>
  <si>
    <t>Colorado Street Bridge</t>
  </si>
  <si>
    <t>Los Angeles</t>
  </si>
  <si>
    <t>Griffith Observatory</t>
  </si>
  <si>
    <t>Santa Monica</t>
  </si>
  <si>
    <t>Santa Monica Pier / Route 66 End of the Trail Sign</t>
  </si>
  <si>
    <t>Eagle Rider - Devolver a Moto Alugada</t>
  </si>
  <si>
    <t>11860 S La Cienega Blvd, Hawthorne, CA 90250, Estados Unidos</t>
  </si>
  <si>
    <t>https://maps.app.goo.gl/VECWGTCDyWBSRgiY8</t>
  </si>
  <si>
    <t>Check-in</t>
  </si>
  <si>
    <t>Check-out</t>
  </si>
  <si>
    <t>Hotel</t>
  </si>
  <si>
    <t>City</t>
  </si>
  <si>
    <t>State</t>
  </si>
  <si>
    <t>Maps</t>
  </si>
  <si>
    <t>Custo USD</t>
  </si>
  <si>
    <t>Custo R$</t>
  </si>
  <si>
    <t>Pagamento</t>
  </si>
  <si>
    <t>08-Ago-24</t>
  </si>
  <si>
    <t>08-Ago-26</t>
  </si>
  <si>
    <t>Cartão no Site da Decolar</t>
  </si>
  <si>
    <t>09-Ago-25</t>
  </si>
  <si>
    <t>09-Ago-26</t>
  </si>
  <si>
    <t>Cartão no Site do Booking</t>
  </si>
  <si>
    <t>10-Ago-26</t>
  </si>
  <si>
    <t>11-Ago-26</t>
  </si>
  <si>
    <t>12-Ago-26</t>
  </si>
  <si>
    <t>13-Ago-26</t>
  </si>
  <si>
    <t>14-Ago-26</t>
  </si>
  <si>
    <t>Excalibur</t>
  </si>
  <si>
    <t>Observação</t>
  </si>
  <si>
    <t>Truque Chicago Magic Show</t>
  </si>
  <si>
    <t>https://www.viator.com/pt-BR/tours/Chicago/Trickery-Chicago-Magic-Show/d673-131827P1</t>
  </si>
  <si>
    <t>Bartlett</t>
  </si>
  <si>
    <t>Smoke &amp; Irons Music Fest em Bartlett </t>
  </si>
  <si>
    <t>https://ignitethecourage.org/musicfest/</t>
  </si>
  <si>
    <t>Six Flags Montanhas Russas</t>
  </si>
  <si>
    <t>https://www.sixflags.com/greatamerica</t>
  </si>
  <si>
    <t>Obed &amp; Isaac's Microbrewery &amp; Eatery</t>
  </si>
  <si>
    <t>Cervejas Artesanais locais</t>
  </si>
  <si>
    <t>Tropicana Bar and Grill</t>
  </si>
  <si>
    <t>Carne e cerveja</t>
  </si>
  <si>
    <t>https://www.mytwisters.com/</t>
  </si>
  <si>
    <t>Los Pollos Hermanos</t>
  </si>
  <si>
    <t>FlagStaff</t>
  </si>
  <si>
    <t>https://www.propermeats.com/menu</t>
  </si>
  <si>
    <t>Carnes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</si>
</sst>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$&quot;\ #,##0.00;[Red]\-&quot;R$&quot;\ #,##0.00"/>
    <numFmt numFmtId="165" formatCode="#,##0\ &quot;km&quot;"/>
    <numFmt numFmtId="166" formatCode="[h]:mm:ss;@"/>
    <numFmt numFmtId="167" formatCode="[$BRL]\ #,##0.00"/>
    <numFmt numFmtId="168" formatCode="[$-409]d/mmm;@"/>
    <numFmt numFmtId="169" formatCode="_-[$$-409]* #,##0.00_ ;_-[$$-409]* \-#,##0.00\ ;_-[$$-409]* &quot;-&quot;??_ ;_-@_ "/>
  </numFmts>
  <fonts count="17">
    <font>
      <sz val="11"/>
      <name val="Carlito"/>
    </font>
    <font>
      <b/>
      <sz val="16"/>
      <color rgb="FFFFFFFF"/>
      <name val="Carlito"/>
    </font>
    <font>
      <b/>
      <sz val="11"/>
      <name val="Carlito"/>
    </font>
    <font>
      <u/>
      <sz val="11"/>
      <color theme="10"/>
      <name val="Carlito"/>
    </font>
    <font>
      <b/>
      <sz val="11"/>
      <color theme="0"/>
      <name val="Carlito"/>
    </font>
    <font>
      <sz val="1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2060"/>
      <name val="Carlito"/>
    </font>
    <font>
      <b/>
      <sz val="9"/>
      <color theme="0"/>
      <name val="Carlito"/>
    </font>
    <font>
      <b/>
      <sz val="11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-0.249977111117893"/>
      <name val="Carlito"/>
    </font>
    <font>
      <sz val="8"/>
      <name val="Carlito"/>
    </font>
    <font>
      <sz val="11"/>
      <color theme="8"/>
      <name val="Carlito"/>
    </font>
    <font>
      <sz val="11"/>
      <color rgb="FFFF0000"/>
      <name val="Carlito"/>
    </font>
    <font>
      <u/>
      <sz val="11"/>
      <color rgb="FFFF0000"/>
      <name val="Carlito"/>
    </font>
    <font>
      <sz val="11"/>
      <color theme="1"/>
      <name val="Carlito"/>
    </font>
  </fonts>
  <fills count="14">
    <fill>
      <patternFill patternType="none"/>
    </fill>
    <fill>
      <patternFill patternType="gray125"/>
    </fill>
    <fill>
      <patternFill patternType="solid">
        <fgColor rgb="FF0B3D91"/>
      </patternFill>
    </fill>
    <fill>
      <patternFill patternType="solid">
        <fgColor rgb="FFE8F1FF"/>
      </patternFill>
    </fill>
    <fill>
      <patternFill patternType="solid">
        <fgColor rgb="FFF5F9FF"/>
      </patternFill>
    </fill>
    <fill>
      <patternFill patternType="solid">
        <fgColor rgb="FF00206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6FFE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DBE9F9"/>
        <bgColor indexed="64"/>
      </patternFill>
    </fill>
    <fill>
      <patternFill patternType="solid">
        <fgColor rgb="FFE7FFE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4">
    <xf numFmtId="0" fontId="0" fillId="0" borderId="0" xfId="0"/>
    <xf numFmtId="0" fontId="2" fillId="3" borderId="0" xfId="0" applyFont="1" applyFill="1"/>
    <xf numFmtId="0" fontId="0" fillId="0" borderId="0" xfId="0" applyAlignment="1">
      <alignment wrapText="1"/>
    </xf>
    <xf numFmtId="1" fontId="0" fillId="4" borderId="0" xfId="0" applyNumberFormat="1" applyFill="1" applyAlignment="1">
      <alignment horizontal="center"/>
    </xf>
    <xf numFmtId="165" fontId="0" fillId="4" borderId="0" xfId="0" applyNumberFormat="1" applyFill="1" applyAlignment="1">
      <alignment horizontal="center"/>
    </xf>
    <xf numFmtId="1" fontId="0" fillId="0" borderId="0" xfId="0" applyNumberFormat="1"/>
    <xf numFmtId="14" fontId="0" fillId="0" borderId="0" xfId="0" applyNumberFormat="1"/>
    <xf numFmtId="166" fontId="0" fillId="0" borderId="0" xfId="0" applyNumberFormat="1"/>
    <xf numFmtId="166" fontId="0" fillId="0" borderId="0" xfId="0" applyNumberFormat="1" applyAlignment="1">
      <alignment horizontal="center"/>
    </xf>
    <xf numFmtId="167" fontId="0" fillId="0" borderId="0" xfId="0" applyNumberFormat="1"/>
    <xf numFmtId="0" fontId="4" fillId="6" borderId="0" xfId="0" applyFont="1" applyFill="1" applyAlignment="1">
      <alignment horizontal="center" vertical="center"/>
    </xf>
    <xf numFmtId="168" fontId="0" fillId="0" borderId="0" xfId="0" applyNumberFormat="1" applyAlignment="1">
      <alignment horizontal="center"/>
    </xf>
    <xf numFmtId="0" fontId="3" fillId="0" borderId="0" xfId="1"/>
    <xf numFmtId="1" fontId="6" fillId="8" borderId="0" xfId="0" applyNumberFormat="1" applyFont="1" applyFill="1" applyAlignment="1">
      <alignment horizontal="right" indent="1"/>
    </xf>
    <xf numFmtId="166" fontId="6" fillId="8" borderId="0" xfId="0" applyNumberFormat="1" applyFont="1" applyFill="1"/>
    <xf numFmtId="0" fontId="7" fillId="8" borderId="0" xfId="0" applyFont="1" applyFill="1"/>
    <xf numFmtId="1" fontId="5" fillId="7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right" indent="1"/>
    </xf>
    <xf numFmtId="0" fontId="5" fillId="7" borderId="1" xfId="0" applyFont="1" applyFill="1" applyBorder="1" applyAlignment="1">
      <alignment horizontal="left" indent="1"/>
    </xf>
    <xf numFmtId="1" fontId="5" fillId="7" borderId="1" xfId="0" applyNumberFormat="1" applyFont="1" applyFill="1" applyBorder="1" applyAlignment="1">
      <alignment horizontal="right" indent="1"/>
    </xf>
    <xf numFmtId="166" fontId="5" fillId="7" borderId="1" xfId="0" applyNumberFormat="1" applyFont="1" applyFill="1" applyBorder="1"/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right" indent="1"/>
    </xf>
    <xf numFmtId="0" fontId="5" fillId="0" borderId="1" xfId="0" applyFont="1" applyBorder="1" applyAlignment="1">
      <alignment horizontal="left" indent="1"/>
    </xf>
    <xf numFmtId="1" fontId="5" fillId="0" borderId="1" xfId="0" applyNumberFormat="1" applyFont="1" applyBorder="1" applyAlignment="1">
      <alignment horizontal="right" indent="1"/>
    </xf>
    <xf numFmtId="166" fontId="5" fillId="0" borderId="1" xfId="0" applyNumberFormat="1" applyFont="1" applyBorder="1"/>
    <xf numFmtId="1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right" indent="1"/>
    </xf>
    <xf numFmtId="0" fontId="5" fillId="7" borderId="2" xfId="0" applyFont="1" applyFill="1" applyBorder="1" applyAlignment="1">
      <alignment horizontal="left" indent="1"/>
    </xf>
    <xf numFmtId="1" fontId="5" fillId="7" borderId="2" xfId="0" applyNumberFormat="1" applyFont="1" applyFill="1" applyBorder="1" applyAlignment="1">
      <alignment horizontal="right" indent="1"/>
    </xf>
    <xf numFmtId="166" fontId="5" fillId="7" borderId="2" xfId="0" applyNumberFormat="1" applyFont="1" applyFill="1" applyBorder="1"/>
    <xf numFmtId="0" fontId="3" fillId="0" borderId="1" xfId="1" applyBorder="1" applyAlignment="1">
      <alignment horizontal="left" indent="1"/>
    </xf>
    <xf numFmtId="0" fontId="5" fillId="0" borderId="2" xfId="0" applyFont="1" applyBorder="1" applyAlignment="1">
      <alignment horizontal="right" indent="1"/>
    </xf>
    <xf numFmtId="0" fontId="5" fillId="0" borderId="2" xfId="0" applyFont="1" applyBorder="1" applyAlignment="1">
      <alignment horizontal="left" indent="1"/>
    </xf>
    <xf numFmtId="1" fontId="5" fillId="0" borderId="2" xfId="0" applyNumberFormat="1" applyFont="1" applyBorder="1" applyAlignment="1">
      <alignment horizontal="right" indent="1"/>
    </xf>
    <xf numFmtId="166" fontId="5" fillId="0" borderId="2" xfId="0" applyNumberFormat="1" applyFont="1" applyBorder="1"/>
    <xf numFmtId="1" fontId="5" fillId="10" borderId="1" xfId="0" applyNumberFormat="1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right" indent="1"/>
    </xf>
    <xf numFmtId="0" fontId="5" fillId="10" borderId="1" xfId="0" applyFont="1" applyFill="1" applyBorder="1" applyAlignment="1">
      <alignment horizontal="left" indent="1"/>
    </xf>
    <xf numFmtId="1" fontId="5" fillId="10" borderId="1" xfId="0" applyNumberFormat="1" applyFont="1" applyFill="1" applyBorder="1" applyAlignment="1">
      <alignment horizontal="right" indent="1"/>
    </xf>
    <xf numFmtId="166" fontId="5" fillId="10" borderId="1" xfId="0" applyNumberFormat="1" applyFont="1" applyFill="1" applyBorder="1"/>
    <xf numFmtId="1" fontId="9" fillId="9" borderId="3" xfId="0" applyNumberFormat="1" applyFont="1" applyFill="1" applyBorder="1" applyAlignment="1">
      <alignment horizontal="right" indent="1"/>
    </xf>
    <xf numFmtId="166" fontId="9" fillId="9" borderId="3" xfId="0" applyNumberFormat="1" applyFont="1" applyFill="1" applyBorder="1"/>
    <xf numFmtId="0" fontId="10" fillId="9" borderId="3" xfId="0" applyFont="1" applyFill="1" applyBorder="1" applyAlignment="1">
      <alignment horizontal="left" indent="1"/>
    </xf>
    <xf numFmtId="0" fontId="11" fillId="9" borderId="3" xfId="0" applyFont="1" applyFill="1" applyBorder="1"/>
    <xf numFmtId="0" fontId="3" fillId="7" borderId="1" xfId="1" applyFill="1" applyBorder="1" applyAlignment="1">
      <alignment horizontal="left" indent="1"/>
    </xf>
    <xf numFmtId="0" fontId="13" fillId="0" borderId="0" xfId="0" applyFont="1"/>
    <xf numFmtId="1" fontId="6" fillId="8" borderId="3" xfId="0" applyNumberFormat="1" applyFont="1" applyFill="1" applyBorder="1" applyAlignment="1">
      <alignment horizontal="right" indent="1"/>
    </xf>
    <xf numFmtId="166" fontId="6" fillId="8" borderId="3" xfId="0" applyNumberFormat="1" applyFont="1" applyFill="1" applyBorder="1"/>
    <xf numFmtId="0" fontId="7" fillId="8" borderId="3" xfId="0" applyFont="1" applyFill="1" applyBorder="1"/>
    <xf numFmtId="168" fontId="6" fillId="11" borderId="0" xfId="0" applyNumberFormat="1" applyFont="1" applyFill="1" applyAlignment="1">
      <alignment horizontal="right" indent="1"/>
    </xf>
    <xf numFmtId="1" fontId="6" fillId="11" borderId="0" xfId="0" applyNumberFormat="1" applyFont="1" applyFill="1" applyAlignment="1">
      <alignment horizontal="right" indent="1"/>
    </xf>
    <xf numFmtId="166" fontId="6" fillId="11" borderId="0" xfId="0" applyNumberFormat="1" applyFont="1" applyFill="1"/>
    <xf numFmtId="0" fontId="7" fillId="11" borderId="0" xfId="0" applyFont="1" applyFill="1"/>
    <xf numFmtId="168" fontId="9" fillId="11" borderId="1" xfId="0" applyNumberFormat="1" applyFont="1" applyFill="1" applyBorder="1" applyAlignment="1">
      <alignment horizontal="right" indent="1"/>
    </xf>
    <xf numFmtId="1" fontId="9" fillId="11" borderId="1" xfId="0" applyNumberFormat="1" applyFont="1" applyFill="1" applyBorder="1" applyAlignment="1">
      <alignment horizontal="right" indent="1"/>
    </xf>
    <xf numFmtId="166" fontId="9" fillId="11" borderId="1" xfId="0" applyNumberFormat="1" applyFont="1" applyFill="1" applyBorder="1"/>
    <xf numFmtId="0" fontId="10" fillId="11" borderId="1" xfId="0" applyFont="1" applyFill="1" applyBorder="1" applyAlignment="1">
      <alignment horizontal="left" indent="1"/>
    </xf>
    <xf numFmtId="0" fontId="11" fillId="11" borderId="1" xfId="0" applyFont="1" applyFill="1" applyBorder="1"/>
    <xf numFmtId="0" fontId="14" fillId="0" borderId="0" xfId="0" applyFont="1"/>
    <xf numFmtId="0" fontId="14" fillId="0" borderId="0" xfId="0" applyFont="1" applyAlignment="1">
      <alignment wrapText="1"/>
    </xf>
    <xf numFmtId="0" fontId="15" fillId="0" borderId="0" xfId="1" applyFont="1"/>
    <xf numFmtId="0" fontId="3" fillId="0" borderId="1" xfId="1" applyFill="1" applyBorder="1" applyAlignment="1">
      <alignment horizontal="left" indent="1"/>
    </xf>
    <xf numFmtId="0" fontId="3" fillId="10" borderId="1" xfId="1" applyFill="1" applyBorder="1" applyAlignment="1">
      <alignment horizontal="left" indent="1"/>
    </xf>
    <xf numFmtId="164" fontId="0" fillId="0" borderId="0" xfId="0" applyNumberFormat="1"/>
    <xf numFmtId="169" fontId="0" fillId="0" borderId="0" xfId="0" applyNumberFormat="1"/>
    <xf numFmtId="0" fontId="4" fillId="5" borderId="0" xfId="0" applyFont="1" applyFill="1" applyAlignment="1">
      <alignment horizontal="center" vertical="center"/>
    </xf>
    <xf numFmtId="0" fontId="0" fillId="0" borderId="0" xfId="0"/>
    <xf numFmtId="0" fontId="16" fillId="0" borderId="0" xfId="0" applyFont="1"/>
    <xf numFmtId="168" fontId="6" fillId="8" borderId="3" xfId="0" applyNumberFormat="1" applyFont="1" applyFill="1" applyBorder="1" applyAlignment="1">
      <alignment horizontal="right" indent="1"/>
    </xf>
    <xf numFmtId="168" fontId="5" fillId="12" borderId="1" xfId="0" applyNumberFormat="1" applyFont="1" applyFill="1" applyBorder="1" applyAlignment="1">
      <alignment horizontal="center" vertical="center"/>
    </xf>
    <xf numFmtId="168" fontId="5" fillId="12" borderId="2" xfId="0" applyNumberFormat="1" applyFont="1" applyFill="1" applyBorder="1" applyAlignment="1">
      <alignment horizontal="center" vertical="center"/>
    </xf>
    <xf numFmtId="168" fontId="9" fillId="9" borderId="3" xfId="0" applyNumberFormat="1" applyFont="1" applyFill="1" applyBorder="1" applyAlignment="1">
      <alignment horizontal="right" indent="1"/>
    </xf>
    <xf numFmtId="168" fontId="5" fillId="13" borderId="1" xfId="0" applyNumberFormat="1" applyFont="1" applyFill="1" applyBorder="1" applyAlignment="1">
      <alignment horizontal="center" vertical="center"/>
    </xf>
    <xf numFmtId="168" fontId="5" fillId="13" borderId="2" xfId="0" applyNumberFormat="1" applyFont="1" applyFill="1" applyBorder="1" applyAlignment="1">
      <alignment horizontal="center" vertical="center"/>
    </xf>
    <xf numFmtId="168" fontId="5" fillId="7" borderId="1" xfId="0" applyNumberFormat="1" applyFont="1" applyFill="1" applyBorder="1" applyAlignment="1">
      <alignment horizontal="center" vertical="center"/>
    </xf>
    <xf numFmtId="168" fontId="5" fillId="10" borderId="1" xfId="0" applyNumberFormat="1" applyFont="1" applyFill="1" applyBorder="1" applyAlignment="1">
      <alignment horizontal="center" vertical="center"/>
    </xf>
    <xf numFmtId="168" fontId="5" fillId="10" borderId="2" xfId="0" applyNumberFormat="1" applyFont="1" applyFill="1" applyBorder="1" applyAlignment="1">
      <alignment horizontal="center" vertical="center"/>
    </xf>
    <xf numFmtId="168" fontId="5" fillId="7" borderId="2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/>
  </cellXfs>
  <cellStyles count="2">
    <cellStyle name="Hyperlink" xfId="1" builtinId="8"/>
    <cellStyle name="Normal" xfId="0" builtinId="0"/>
  </cellStyles>
  <dxfs count="6">
    <dxf>
      <numFmt numFmtId="166" formatCode="[h]:mm:ss;@"/>
      <alignment horizontal="center" vertical="bottom" textRotation="0" wrapText="0" indent="0" justifyLastLine="0" shrinkToFit="0" readingOrder="0"/>
    </dxf>
    <dxf>
      <numFmt numFmtId="1" formatCode="0"/>
    </dxf>
    <dxf>
      <numFmt numFmtId="1" formatCode="0"/>
    </dxf>
    <dxf>
      <numFmt numFmtId="170" formatCode="dd/mm/yy"/>
    </dxf>
    <dxf>
      <font>
        <b/>
        <strike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rlito"/>
        <scheme val="none"/>
      </font>
      <fill>
        <patternFill patternType="solid">
          <fgColor indexed="64"/>
          <bgColor theme="7" tint="-0.49998474074526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E7FFE3"/>
      <color rgb="FFDBE9F9"/>
      <color rgb="FFE6FFE3"/>
      <color rgb="FFC8FA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DD919D1-4E4B-4E94-AC7F-D4DF45EB87B8}" name="Table2" displayName="Table2" ref="A1:F55" totalsRowShown="0" headerRowDxfId="5">
  <autoFilter ref="A1:F55" xr:uid="{1DD919D1-4E4B-4E94-AC7F-D4DF45EB87B8}"/>
  <tableColumns count="6">
    <tableColumn id="1" xr3:uid="{C56412C9-D901-4544-BFF6-9C86A5445E4A}" name="#"/>
    <tableColumn id="2" xr3:uid="{47AE195B-285C-41EC-84CA-26D824225ABE}" name="Local"/>
    <tableColumn id="5" xr3:uid="{0ABBC9BA-884B-4567-A3CE-493217EB8341}" name="Cidade"/>
    <tableColumn id="6" xr3:uid="{59211D3C-516E-4809-932E-617EAB7E094B}" name="Estado"/>
    <tableColumn id="3" xr3:uid="{790D656D-ECF0-44D8-8DF0-FD0D998FD9F3}" name="Address"/>
    <tableColumn id="4" xr3:uid="{21CD4E24-3601-4FF6-8279-C08D5E008177}" name="POI Goog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oute66Table" displayName="Route66Table" ref="A5:L58" headerRowDxfId="4">
  <tableColumns count="12">
    <tableColumn id="8" xr3:uid="{CE576862-B745-4115-87CF-C1CE16E26DFB}" name="Dia" dataDxfId="3"/>
    <tableColumn id="1" xr3:uid="{00000000-0010-0000-0000-000001000000}" name="Parada"/>
    <tableColumn id="2" xr3:uid="{00000000-0010-0000-0000-000002000000}" name="Cidade / parada"/>
    <tableColumn id="3" xr3:uid="{00000000-0010-0000-0000-000003000000}" name="Estado"/>
    <tableColumn id="4" xr3:uid="{00000000-0010-0000-0000-000004000000}" name="Milhas" dataDxfId="2"/>
    <tableColumn id="11" xr3:uid="{917305A9-49DB-4AD4-9294-B8B3F6355F28}" name="Kms" dataDxfId="1">
      <calculatedColumnFormula>Route66Table[[#This Row],[Milhas]]*1.60934</calculatedColumnFormula>
    </tableColumn>
    <tableColumn id="12" xr3:uid="{9999CECE-30E0-4C67-A69E-07AC0FC4265C}" name="Tempo estimado" dataDxfId="0"/>
    <tableColumn id="5" xr3:uid="{00000000-0010-0000-0000-000005000000}" name="Ponto turístico recomendado"/>
    <tableColumn id="9" xr3:uid="{ED7D524E-5C70-43AF-A9C2-221BB905E7AF}" name="Endereço"/>
    <tableColumn id="10" xr3:uid="{EE34E2DA-CE7D-4398-8E6F-92ADB0DBA8D5}" name="POI Google"/>
    <tableColumn id="13" xr3:uid="{73A004D7-5FF2-4130-BDED-E02CB02BBBA1}" name="Custo"/>
    <tableColumn id="7" xr3:uid="{00000000-0010-0000-0000-000007000000}" name="Observaçõ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9DDC6A-1183-B748-83EB-ABAD518EC555}" name="Table3" displayName="Table3" ref="A1:J23" totalsRowShown="0">
  <autoFilter ref="A1:J23" xr:uid="{AC9DDC6A-1183-B748-83EB-ABAD518EC555}"/>
  <tableColumns count="10">
    <tableColumn id="1" xr3:uid="{C24AA93D-D601-674D-8DC5-94F693516499}" name="Check-in"/>
    <tableColumn id="2" xr3:uid="{3F7D522A-EF7F-F742-AEF0-46F48A6ACEF1}" name="Check-out"/>
    <tableColumn id="3" xr3:uid="{5974C278-77D8-F24A-84F2-62B2AF3E5425}" name="Hotel"/>
    <tableColumn id="4" xr3:uid="{B660D0E2-F558-8B47-8514-6E1167125E90}" name="City"/>
    <tableColumn id="5" xr3:uid="{38DC357E-F553-0B49-8399-F3D84DBBACF4}" name="State"/>
    <tableColumn id="6" xr3:uid="{6796C5E0-60B5-AD4D-A4C0-DD53036D3E21}" name="Address"/>
    <tableColumn id="7" xr3:uid="{3B0E57AB-D71C-9740-BFEC-BF17273B6912}" name="Maps"/>
    <tableColumn id="13" xr3:uid="{29D95048-6EEA-E043-8D5F-267B5A79BF24}" name="Custo USD"/>
    <tableColumn id="11" xr3:uid="{E610F361-AE89-1444-A19E-CA314F46D26B}" name="Custo R$"/>
    <tableColumn id="12" xr3:uid="{E70D4794-398E-E248-87B8-8FA9EB4A987B}" name="Pagamento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ygU6ui1svD5uFi7Z6" TargetMode="External"/><Relationship Id="rId13" Type="http://schemas.openxmlformats.org/officeDocument/2006/relationships/hyperlink" Target="https://maps.app.goo.gl/1AaeLXFFnWFC7TMK9" TargetMode="External"/><Relationship Id="rId18" Type="http://schemas.openxmlformats.org/officeDocument/2006/relationships/hyperlink" Target="https://maps.app.goo.gl/ppYqpRb8ZwN4oNqUA" TargetMode="External"/><Relationship Id="rId26" Type="http://schemas.openxmlformats.org/officeDocument/2006/relationships/table" Target="../tables/table1.xml"/><Relationship Id="rId3" Type="http://schemas.openxmlformats.org/officeDocument/2006/relationships/hyperlink" Target="https://maps.app.goo.gl/xta59hXaHMwqU7SJ7" TargetMode="External"/><Relationship Id="rId21" Type="http://schemas.openxmlformats.org/officeDocument/2006/relationships/hyperlink" Target="https://maps.app.goo.gl/LWjx8VTsyecWPhBe8" TargetMode="External"/><Relationship Id="rId7" Type="http://schemas.openxmlformats.org/officeDocument/2006/relationships/hyperlink" Target="https://maps.app.goo.gl/41djfKHaA2pLcim68" TargetMode="External"/><Relationship Id="rId12" Type="http://schemas.openxmlformats.org/officeDocument/2006/relationships/hyperlink" Target="https://maps.app.goo.gl/2dyRoDX2KUC548s68" TargetMode="External"/><Relationship Id="rId17" Type="http://schemas.openxmlformats.org/officeDocument/2006/relationships/hyperlink" Target="https://maps.app.goo.gl/PWutaifeCXQjqQVc8" TargetMode="External"/><Relationship Id="rId25" Type="http://schemas.openxmlformats.org/officeDocument/2006/relationships/hyperlink" Target="https://maps.app.goo.gl/idsJWSoDGWdrg9CSA" TargetMode="External"/><Relationship Id="rId2" Type="http://schemas.openxmlformats.org/officeDocument/2006/relationships/hyperlink" Target="https://maps.app.goo.gl/61cUu23BzUxbWw5Q9" TargetMode="External"/><Relationship Id="rId16" Type="http://schemas.openxmlformats.org/officeDocument/2006/relationships/hyperlink" Target="https://maps.app.goo.gl/XL8VjKDjqd7t7qkr9" TargetMode="External"/><Relationship Id="rId20" Type="http://schemas.openxmlformats.org/officeDocument/2006/relationships/hyperlink" Target="https://maps.app.goo.gl/ABs5dASu3n27zehT7" TargetMode="External"/><Relationship Id="rId1" Type="http://schemas.openxmlformats.org/officeDocument/2006/relationships/hyperlink" Target="https://maps.app.goo.gl/KoPsnrZJBGXD44Pu5" TargetMode="External"/><Relationship Id="rId6" Type="http://schemas.openxmlformats.org/officeDocument/2006/relationships/hyperlink" Target="https://maps.app.goo.gl/ZRsvaGWmhdK3ahqv8" TargetMode="External"/><Relationship Id="rId11" Type="http://schemas.openxmlformats.org/officeDocument/2006/relationships/hyperlink" Target="https://maps.app.goo.gl/xGXmeG1SqtyFsudp6" TargetMode="External"/><Relationship Id="rId24" Type="http://schemas.openxmlformats.org/officeDocument/2006/relationships/hyperlink" Target="https://maps.app.goo.gl/j99RVzcPooV1k4xg7" TargetMode="External"/><Relationship Id="rId5" Type="http://schemas.openxmlformats.org/officeDocument/2006/relationships/hyperlink" Target="https://maps.app.goo.gl/LN5wkVXuzJ9BLxk89" TargetMode="External"/><Relationship Id="rId15" Type="http://schemas.openxmlformats.org/officeDocument/2006/relationships/hyperlink" Target="https://maps.app.goo.gl/Km8XnFgi6mSQkdju8" TargetMode="External"/><Relationship Id="rId23" Type="http://schemas.openxmlformats.org/officeDocument/2006/relationships/hyperlink" Target="https://maps.app.goo.gl/LPxCxLWP46bCBWs57" TargetMode="External"/><Relationship Id="rId10" Type="http://schemas.openxmlformats.org/officeDocument/2006/relationships/hyperlink" Target="https://maps.app.goo.gl/Do4dmPdJDYWtAXxG8" TargetMode="External"/><Relationship Id="rId19" Type="http://schemas.openxmlformats.org/officeDocument/2006/relationships/hyperlink" Target="https://maps.app.goo.gl/34ezh7q8aRbGTjA87" TargetMode="External"/><Relationship Id="rId4" Type="http://schemas.openxmlformats.org/officeDocument/2006/relationships/hyperlink" Target="https://maps.app.goo.gl/QX1hD3rivmXDV5TV9" TargetMode="External"/><Relationship Id="rId9" Type="http://schemas.openxmlformats.org/officeDocument/2006/relationships/hyperlink" Target="https://maps.app.goo.gl/q9eKjqCrQKiKcoao7" TargetMode="External"/><Relationship Id="rId14" Type="http://schemas.openxmlformats.org/officeDocument/2006/relationships/hyperlink" Target="https://maps.app.goo.gl/Xgoi35NhEVqJZaK1A" TargetMode="External"/><Relationship Id="rId22" Type="http://schemas.openxmlformats.org/officeDocument/2006/relationships/hyperlink" Target="https://maps.app.goo.gl/ZtDYkoHeK3EWthu36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7SKfFR4ZDazEKBym8" TargetMode="External"/><Relationship Id="rId13" Type="http://schemas.openxmlformats.org/officeDocument/2006/relationships/hyperlink" Target="https://maps.app.goo.gl/34upmyiziSfWPB1M9" TargetMode="External"/><Relationship Id="rId18" Type="http://schemas.openxmlformats.org/officeDocument/2006/relationships/hyperlink" Target="https://maps.app.goo.gl/QcxA1xjdzGP8Uk5EA" TargetMode="External"/><Relationship Id="rId26" Type="http://schemas.openxmlformats.org/officeDocument/2006/relationships/hyperlink" Target="https://maps.app.goo.gl/hoq7641UPdriTcsP7" TargetMode="External"/><Relationship Id="rId3" Type="http://schemas.openxmlformats.org/officeDocument/2006/relationships/hyperlink" Target="https://maps.app.goo.gl/L29b7FAk7hTEdV7o8" TargetMode="External"/><Relationship Id="rId21" Type="http://schemas.openxmlformats.org/officeDocument/2006/relationships/hyperlink" Target="https://maps.app.goo.gl/wjKx9ypHBmitMQun7" TargetMode="External"/><Relationship Id="rId7" Type="http://schemas.openxmlformats.org/officeDocument/2006/relationships/hyperlink" Target="https://maps.app.goo.gl/ST8JqadEtwz8fESi9" TargetMode="External"/><Relationship Id="rId12" Type="http://schemas.openxmlformats.org/officeDocument/2006/relationships/hyperlink" Target="https://maps.app.goo.gl/VYQS2PinLHLvp5Jq6" TargetMode="External"/><Relationship Id="rId17" Type="http://schemas.openxmlformats.org/officeDocument/2006/relationships/hyperlink" Target="https://maps.app.goo.gl/t2qtg6BJobLiYFLk7" TargetMode="External"/><Relationship Id="rId25" Type="http://schemas.openxmlformats.org/officeDocument/2006/relationships/hyperlink" Target="https://maps.app.goo.gl/aisTWBQziKVFQrB3A" TargetMode="External"/><Relationship Id="rId2" Type="http://schemas.openxmlformats.org/officeDocument/2006/relationships/hyperlink" Target="https://maps.app.goo.gl/EshnYPYP1ZCVXfFr5" TargetMode="External"/><Relationship Id="rId16" Type="http://schemas.openxmlformats.org/officeDocument/2006/relationships/hyperlink" Target="https://maps.app.goo.gl/JFXDVXY7c6B4gkmP6" TargetMode="External"/><Relationship Id="rId20" Type="http://schemas.openxmlformats.org/officeDocument/2006/relationships/hyperlink" Target="https://maps.app.goo.gl/3R9ueNqM9Ax7Hx8b9" TargetMode="External"/><Relationship Id="rId29" Type="http://schemas.openxmlformats.org/officeDocument/2006/relationships/hyperlink" Target="https://maps.app.goo.gl/ENmP6sHBVq1U2Hh16" TargetMode="External"/><Relationship Id="rId1" Type="http://schemas.openxmlformats.org/officeDocument/2006/relationships/hyperlink" Target="https://maps.app.goo.gl/5cYpqcSECrGLGpU77" TargetMode="External"/><Relationship Id="rId6" Type="http://schemas.openxmlformats.org/officeDocument/2006/relationships/hyperlink" Target="https://maps.app.goo.gl/MBA3hCR8CwFCAzv49" TargetMode="External"/><Relationship Id="rId11" Type="http://schemas.openxmlformats.org/officeDocument/2006/relationships/hyperlink" Target="https://maps.app.goo.gl/W7zMtanJiBsFmWANA" TargetMode="External"/><Relationship Id="rId24" Type="http://schemas.openxmlformats.org/officeDocument/2006/relationships/hyperlink" Target="https://maps.app.goo.gl/S4RZfoA2vRwBJJpJ6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maps.app.goo.gl/MPzCZ2zq8WAUgTzGA" TargetMode="External"/><Relationship Id="rId15" Type="http://schemas.openxmlformats.org/officeDocument/2006/relationships/hyperlink" Target="https://maps.app.goo.gl/r5wi6wFtwe1zozEB7" TargetMode="External"/><Relationship Id="rId23" Type="http://schemas.openxmlformats.org/officeDocument/2006/relationships/hyperlink" Target="https://maps.app.goo.gl/ekb2jbBaS9MibmNb8" TargetMode="External"/><Relationship Id="rId28" Type="http://schemas.openxmlformats.org/officeDocument/2006/relationships/hyperlink" Target="https://maps.app.goo.gl/p5ZWgEELnuVX3Ae79" TargetMode="External"/><Relationship Id="rId10" Type="http://schemas.openxmlformats.org/officeDocument/2006/relationships/hyperlink" Target="https://maps.app.goo.gl/QthhfL1KJaFScZ6JA" TargetMode="External"/><Relationship Id="rId19" Type="http://schemas.openxmlformats.org/officeDocument/2006/relationships/hyperlink" Target="https://maps.app.goo.gl/4MTfrRAuKyoS3RFE9" TargetMode="External"/><Relationship Id="rId31" Type="http://schemas.openxmlformats.org/officeDocument/2006/relationships/hyperlink" Target="https://maps.app.goo.gl/FQiChHqtAKRzqqTU6" TargetMode="External"/><Relationship Id="rId4" Type="http://schemas.openxmlformats.org/officeDocument/2006/relationships/hyperlink" Target="https://maps.app.goo.gl/GRA1AZRjNFUp294q8" TargetMode="External"/><Relationship Id="rId9" Type="http://schemas.openxmlformats.org/officeDocument/2006/relationships/hyperlink" Target="https://maps.app.goo.gl/ABUro3bfgoqFu2Ta7" TargetMode="External"/><Relationship Id="rId14" Type="http://schemas.openxmlformats.org/officeDocument/2006/relationships/hyperlink" Target="https://maps.app.goo.gl/iZSNPpXwTTMA8Vcc6" TargetMode="External"/><Relationship Id="rId22" Type="http://schemas.openxmlformats.org/officeDocument/2006/relationships/hyperlink" Target="https://maps.app.goo.gl/Y5MTGs6fkuRvQGiG8" TargetMode="External"/><Relationship Id="rId27" Type="http://schemas.openxmlformats.org/officeDocument/2006/relationships/hyperlink" Target="https://maps.app.goo.gl/EsgAr6ogniYt5nmp9" TargetMode="External"/><Relationship Id="rId30" Type="http://schemas.openxmlformats.org/officeDocument/2006/relationships/hyperlink" Target="https://maps.app.goo.gl/XBXLGh5gzxcMnZfHA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maps.app.goo.gl/ygU6ui1svD5uFi7Z6" TargetMode="External"/><Relationship Id="rId2" Type="http://schemas.openxmlformats.org/officeDocument/2006/relationships/hyperlink" Target="https://maps.app.goo.gl/QX1hD3rivmXDV5TV9" TargetMode="External"/><Relationship Id="rId1" Type="http://schemas.openxmlformats.org/officeDocument/2006/relationships/hyperlink" Target="https://maps.app.goo.gl/KbifRsNazxVcD4Uq7" TargetMode="External"/><Relationship Id="rId6" Type="http://schemas.openxmlformats.org/officeDocument/2006/relationships/table" Target="../tables/table3.xml"/><Relationship Id="rId5" Type="http://schemas.openxmlformats.org/officeDocument/2006/relationships/hyperlink" Target="https://maps.app.goo.gl/ppYqpRb8ZwN4oNqUA" TargetMode="External"/><Relationship Id="rId4" Type="http://schemas.openxmlformats.org/officeDocument/2006/relationships/hyperlink" Target="https://maps.app.goo.gl/Xgoi35NhEVqJZaK1A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propermeats.com/menu" TargetMode="External"/><Relationship Id="rId1" Type="http://schemas.openxmlformats.org/officeDocument/2006/relationships/hyperlink" Target="https://www.mytwister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0244-EF6B-4110-AA98-4255B41FC17B}">
  <dimension ref="A1:F55"/>
  <sheetViews>
    <sheetView topLeftCell="C23" zoomScale="160" zoomScaleNormal="160" workbookViewId="0">
      <selection activeCell="F40" sqref="F40"/>
    </sheetView>
  </sheetViews>
  <sheetFormatPr defaultColWidth="8.875" defaultRowHeight="14.1"/>
  <cols>
    <col min="2" max="2" width="45.875" customWidth="1"/>
    <col min="3" max="4" width="13.375" customWidth="1"/>
    <col min="5" max="5" width="63.125" bestFit="1" customWidth="1"/>
    <col min="6" max="6" width="53.125" customWidth="1"/>
  </cols>
  <sheetData>
    <row r="1" spans="1:6" ht="1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 spans="1:6">
      <c r="A2" s="67">
        <v>1</v>
      </c>
      <c r="B2" s="67" t="s">
        <v>6</v>
      </c>
      <c r="C2" s="67" t="s">
        <v>7</v>
      </c>
      <c r="D2" s="67" t="s">
        <v>8</v>
      </c>
      <c r="E2" s="67" t="s">
        <v>9</v>
      </c>
      <c r="F2" s="12" t="s">
        <v>10</v>
      </c>
    </row>
    <row r="3" spans="1:6">
      <c r="A3" s="67">
        <f>A2+1</f>
        <v>2</v>
      </c>
      <c r="B3" s="67" t="s">
        <v>11</v>
      </c>
      <c r="C3" s="67" t="s">
        <v>7</v>
      </c>
      <c r="D3" s="67" t="s">
        <v>8</v>
      </c>
      <c r="E3" s="67" t="s">
        <v>12</v>
      </c>
      <c r="F3" s="12" t="s">
        <v>13</v>
      </c>
    </row>
    <row r="4" spans="1:6">
      <c r="A4" s="67">
        <f t="shared" ref="A4:A19" si="0">A3+1</f>
        <v>3</v>
      </c>
      <c r="B4" s="67"/>
      <c r="C4" s="67"/>
      <c r="D4" s="67"/>
      <c r="E4" s="67"/>
      <c r="F4" s="67"/>
    </row>
    <row r="5" spans="1:6">
      <c r="A5" s="67">
        <f t="shared" si="0"/>
        <v>4</v>
      </c>
      <c r="B5" s="67"/>
      <c r="C5" s="67"/>
      <c r="D5" s="67"/>
      <c r="E5" s="67"/>
      <c r="F5" s="67"/>
    </row>
    <row r="6" spans="1:6" s="46" customFormat="1" ht="15">
      <c r="A6" s="59">
        <f t="shared" si="0"/>
        <v>5</v>
      </c>
      <c r="B6" s="60" t="s">
        <v>14</v>
      </c>
      <c r="C6" s="59" t="s">
        <v>7</v>
      </c>
      <c r="D6" s="59" t="s">
        <v>8</v>
      </c>
      <c r="E6" s="59" t="s">
        <v>15</v>
      </c>
      <c r="F6" s="61" t="s">
        <v>16</v>
      </c>
    </row>
    <row r="7" spans="1:6" s="46" customFormat="1">
      <c r="A7" s="67">
        <f t="shared" si="0"/>
        <v>6</v>
      </c>
      <c r="B7" s="67" t="s">
        <v>17</v>
      </c>
      <c r="C7" s="67" t="s">
        <v>7</v>
      </c>
      <c r="D7" s="67" t="s">
        <v>8</v>
      </c>
      <c r="E7" s="67" t="s">
        <v>18</v>
      </c>
      <c r="F7" s="67" t="s">
        <v>19</v>
      </c>
    </row>
    <row r="8" spans="1:6">
      <c r="A8" s="67">
        <f t="shared" si="0"/>
        <v>7</v>
      </c>
      <c r="B8" s="67" t="s">
        <v>20</v>
      </c>
      <c r="C8" s="67" t="s">
        <v>7</v>
      </c>
      <c r="D8" s="67" t="s">
        <v>8</v>
      </c>
      <c r="E8" s="67" t="s">
        <v>21</v>
      </c>
      <c r="F8" s="67" t="s">
        <v>22</v>
      </c>
    </row>
    <row r="9" spans="1:6">
      <c r="A9" s="67">
        <f t="shared" si="0"/>
        <v>8</v>
      </c>
      <c r="B9" s="67" t="s">
        <v>23</v>
      </c>
      <c r="C9" s="67" t="s">
        <v>24</v>
      </c>
      <c r="D9" s="67" t="s">
        <v>8</v>
      </c>
      <c r="E9" s="67" t="s">
        <v>25</v>
      </c>
      <c r="F9" s="12" t="s">
        <v>26</v>
      </c>
    </row>
    <row r="10" spans="1:6">
      <c r="A10" s="67">
        <f t="shared" si="0"/>
        <v>9</v>
      </c>
      <c r="B10" s="67" t="s">
        <v>27</v>
      </c>
      <c r="C10" s="67" t="s">
        <v>24</v>
      </c>
      <c r="D10" s="67" t="s">
        <v>8</v>
      </c>
      <c r="E10" s="67" t="s">
        <v>28</v>
      </c>
      <c r="F10" s="67" t="s">
        <v>29</v>
      </c>
    </row>
    <row r="11" spans="1:6">
      <c r="A11" s="67">
        <f t="shared" si="0"/>
        <v>10</v>
      </c>
      <c r="B11" s="67" t="s">
        <v>30</v>
      </c>
      <c r="C11" s="67" t="s">
        <v>24</v>
      </c>
      <c r="D11" s="67" t="s">
        <v>8</v>
      </c>
      <c r="E11" s="67" t="s">
        <v>31</v>
      </c>
      <c r="F11" s="12" t="s">
        <v>32</v>
      </c>
    </row>
    <row r="12" spans="1:6">
      <c r="A12" s="67">
        <f t="shared" si="0"/>
        <v>11</v>
      </c>
      <c r="B12" s="67" t="s">
        <v>33</v>
      </c>
      <c r="C12" s="67" t="s">
        <v>34</v>
      </c>
      <c r="D12" s="67" t="s">
        <v>8</v>
      </c>
      <c r="E12" s="67" t="s">
        <v>35</v>
      </c>
      <c r="F12" s="67" t="s">
        <v>36</v>
      </c>
    </row>
    <row r="13" spans="1:6" s="46" customFormat="1">
      <c r="A13" s="59">
        <f t="shared" si="0"/>
        <v>12</v>
      </c>
      <c r="B13" s="59" t="s">
        <v>37</v>
      </c>
      <c r="C13" s="59" t="s">
        <v>38</v>
      </c>
      <c r="D13" s="59" t="s">
        <v>8</v>
      </c>
      <c r="E13" s="59" t="s">
        <v>39</v>
      </c>
      <c r="F13" s="61" t="s">
        <v>40</v>
      </c>
    </row>
    <row r="14" spans="1:6">
      <c r="A14" s="67">
        <f t="shared" si="0"/>
        <v>13</v>
      </c>
      <c r="B14" s="67" t="s">
        <v>41</v>
      </c>
      <c r="C14" s="67" t="s">
        <v>42</v>
      </c>
      <c r="D14" s="67" t="s">
        <v>43</v>
      </c>
      <c r="E14" s="67" t="s">
        <v>44</v>
      </c>
      <c r="F14" s="12" t="s">
        <v>45</v>
      </c>
    </row>
    <row r="15" spans="1:6">
      <c r="A15" s="67">
        <f t="shared" si="0"/>
        <v>14</v>
      </c>
      <c r="B15" s="67" t="s">
        <v>46</v>
      </c>
      <c r="C15" s="67" t="s">
        <v>47</v>
      </c>
      <c r="D15" s="67" t="s">
        <v>43</v>
      </c>
      <c r="E15" s="67" t="s">
        <v>48</v>
      </c>
      <c r="F15" s="12" t="s">
        <v>49</v>
      </c>
    </row>
    <row r="16" spans="1:6">
      <c r="A16" s="67">
        <f t="shared" si="0"/>
        <v>15</v>
      </c>
      <c r="B16" s="67" t="s">
        <v>50</v>
      </c>
      <c r="C16" s="67" t="s">
        <v>51</v>
      </c>
      <c r="D16" s="67" t="s">
        <v>43</v>
      </c>
      <c r="E16" s="67" t="s">
        <v>52</v>
      </c>
      <c r="F16" s="12" t="s">
        <v>53</v>
      </c>
    </row>
    <row r="17" spans="1:6">
      <c r="A17" s="67">
        <f t="shared" si="0"/>
        <v>16</v>
      </c>
      <c r="B17" s="67" t="s">
        <v>54</v>
      </c>
      <c r="C17" s="67" t="s">
        <v>55</v>
      </c>
      <c r="D17" s="67" t="s">
        <v>43</v>
      </c>
      <c r="E17" s="67" t="s">
        <v>56</v>
      </c>
      <c r="F17" s="67" t="s">
        <v>57</v>
      </c>
    </row>
    <row r="18" spans="1:6">
      <c r="A18" s="67">
        <f t="shared" si="0"/>
        <v>17</v>
      </c>
      <c r="B18" s="67" t="s">
        <v>58</v>
      </c>
      <c r="C18" s="67" t="s">
        <v>59</v>
      </c>
      <c r="D18" s="67" t="s">
        <v>43</v>
      </c>
      <c r="E18" s="67" t="s">
        <v>60</v>
      </c>
      <c r="F18" s="67" t="s">
        <v>61</v>
      </c>
    </row>
    <row r="19" spans="1:6">
      <c r="A19" s="67">
        <f t="shared" si="0"/>
        <v>18</v>
      </c>
      <c r="B19" s="67" t="s">
        <v>62</v>
      </c>
      <c r="C19" s="67" t="s">
        <v>38</v>
      </c>
      <c r="D19" s="67" t="s">
        <v>43</v>
      </c>
      <c r="E19" s="67" t="s">
        <v>63</v>
      </c>
      <c r="F19" s="67" t="s">
        <v>64</v>
      </c>
    </row>
    <row r="20" spans="1:6">
      <c r="A20" s="67">
        <f t="shared" ref="A20:A26" si="1">A19+1</f>
        <v>19</v>
      </c>
      <c r="B20" s="67" t="s">
        <v>65</v>
      </c>
      <c r="C20" s="67" t="s">
        <v>66</v>
      </c>
      <c r="D20" s="67" t="s">
        <v>43</v>
      </c>
      <c r="E20" s="67" t="s">
        <v>67</v>
      </c>
      <c r="F20" s="12" t="s">
        <v>68</v>
      </c>
    </row>
    <row r="21" spans="1:6">
      <c r="A21" s="59">
        <f t="shared" si="1"/>
        <v>20</v>
      </c>
      <c r="B21" s="59" t="s">
        <v>69</v>
      </c>
      <c r="C21" s="59" t="s">
        <v>66</v>
      </c>
      <c r="D21" s="59" t="s">
        <v>43</v>
      </c>
      <c r="E21" s="59" t="s">
        <v>70</v>
      </c>
      <c r="F21" s="61" t="s">
        <v>71</v>
      </c>
    </row>
    <row r="22" spans="1:6">
      <c r="A22" s="67">
        <f t="shared" si="1"/>
        <v>21</v>
      </c>
      <c r="B22" s="67" t="s">
        <v>72</v>
      </c>
      <c r="C22" s="67" t="s">
        <v>73</v>
      </c>
      <c r="D22" s="67" t="s">
        <v>74</v>
      </c>
      <c r="E22" s="67" t="s">
        <v>75</v>
      </c>
      <c r="F22" s="67" t="s">
        <v>76</v>
      </c>
    </row>
    <row r="23" spans="1:6">
      <c r="A23" s="67">
        <f t="shared" si="1"/>
        <v>22</v>
      </c>
      <c r="B23" s="67" t="s">
        <v>77</v>
      </c>
      <c r="C23" s="67" t="s">
        <v>78</v>
      </c>
      <c r="D23" s="67" t="s">
        <v>79</v>
      </c>
      <c r="E23" s="67" t="s">
        <v>80</v>
      </c>
      <c r="F23" s="67" t="s">
        <v>81</v>
      </c>
    </row>
    <row r="24" spans="1:6">
      <c r="A24" s="67">
        <f t="shared" si="1"/>
        <v>23</v>
      </c>
      <c r="B24" s="67" t="s">
        <v>82</v>
      </c>
      <c r="C24" s="67" t="s">
        <v>83</v>
      </c>
      <c r="D24" s="67" t="s">
        <v>79</v>
      </c>
      <c r="E24" s="67" t="s">
        <v>84</v>
      </c>
      <c r="F24" s="67" t="s">
        <v>85</v>
      </c>
    </row>
    <row r="25" spans="1:6">
      <c r="A25" s="67">
        <f t="shared" si="1"/>
        <v>24</v>
      </c>
      <c r="B25" s="67" t="s">
        <v>86</v>
      </c>
      <c r="C25" s="67" t="s">
        <v>87</v>
      </c>
      <c r="D25" s="67" t="s">
        <v>79</v>
      </c>
      <c r="E25" s="67" t="s">
        <v>88</v>
      </c>
      <c r="F25" s="12" t="s">
        <v>89</v>
      </c>
    </row>
    <row r="26" spans="1:6">
      <c r="A26" s="67">
        <f t="shared" si="1"/>
        <v>25</v>
      </c>
      <c r="B26" s="67" t="s">
        <v>90</v>
      </c>
      <c r="C26" s="67" t="s">
        <v>91</v>
      </c>
      <c r="D26" s="67" t="s">
        <v>79</v>
      </c>
      <c r="E26" s="67" t="s">
        <v>92</v>
      </c>
      <c r="F26" s="12" t="s">
        <v>93</v>
      </c>
    </row>
    <row r="27" spans="1:6">
      <c r="A27" s="59">
        <f t="shared" ref="A27:A55" si="2">A26+1</f>
        <v>26</v>
      </c>
      <c r="B27" s="59" t="s">
        <v>94</v>
      </c>
      <c r="C27" s="59" t="s">
        <v>95</v>
      </c>
      <c r="D27" s="59" t="s">
        <v>79</v>
      </c>
      <c r="E27" s="59" t="s">
        <v>96</v>
      </c>
      <c r="F27" s="61" t="s">
        <v>97</v>
      </c>
    </row>
    <row r="28" spans="1:6">
      <c r="A28" s="67">
        <f t="shared" si="2"/>
        <v>27</v>
      </c>
      <c r="B28" s="67" t="s">
        <v>98</v>
      </c>
      <c r="C28" s="67" t="s">
        <v>99</v>
      </c>
      <c r="D28" s="67" t="s">
        <v>79</v>
      </c>
      <c r="E28" s="67" t="s">
        <v>100</v>
      </c>
      <c r="F28" s="12" t="s">
        <v>101</v>
      </c>
    </row>
    <row r="29" spans="1:6">
      <c r="A29" s="67">
        <f t="shared" si="2"/>
        <v>28</v>
      </c>
      <c r="B29" s="67" t="s">
        <v>102</v>
      </c>
      <c r="C29" s="67" t="s">
        <v>103</v>
      </c>
      <c r="D29" s="67" t="s">
        <v>79</v>
      </c>
      <c r="E29" s="67" t="s">
        <v>104</v>
      </c>
      <c r="F29" s="12" t="s">
        <v>105</v>
      </c>
    </row>
    <row r="30" spans="1:6">
      <c r="A30" s="67">
        <f t="shared" si="2"/>
        <v>29</v>
      </c>
      <c r="B30" s="67" t="s">
        <v>106</v>
      </c>
      <c r="C30" s="67" t="s">
        <v>107</v>
      </c>
      <c r="D30" s="67" t="s">
        <v>79</v>
      </c>
      <c r="E30" s="67" t="s">
        <v>108</v>
      </c>
      <c r="F30" s="67" t="s">
        <v>109</v>
      </c>
    </row>
    <row r="31" spans="1:6">
      <c r="A31" s="67">
        <f t="shared" si="2"/>
        <v>30</v>
      </c>
      <c r="B31" s="67" t="s">
        <v>110</v>
      </c>
      <c r="C31" s="67" t="s">
        <v>111</v>
      </c>
      <c r="D31" s="67" t="s">
        <v>112</v>
      </c>
      <c r="E31" s="67" t="s">
        <v>113</v>
      </c>
      <c r="F31" s="67" t="s">
        <v>114</v>
      </c>
    </row>
    <row r="32" spans="1:6">
      <c r="A32" s="67">
        <f t="shared" si="2"/>
        <v>31</v>
      </c>
      <c r="B32" s="67" t="s">
        <v>115</v>
      </c>
      <c r="C32" s="67" t="s">
        <v>116</v>
      </c>
      <c r="D32" s="67" t="s">
        <v>112</v>
      </c>
      <c r="E32" s="67" t="s">
        <v>117</v>
      </c>
      <c r="F32" s="12" t="s">
        <v>118</v>
      </c>
    </row>
    <row r="33" spans="1:6">
      <c r="A33" s="67">
        <f t="shared" si="2"/>
        <v>32</v>
      </c>
      <c r="B33" s="67" t="s">
        <v>119</v>
      </c>
      <c r="C33" s="67" t="s">
        <v>120</v>
      </c>
      <c r="D33" s="67" t="s">
        <v>121</v>
      </c>
      <c r="E33" s="67" t="s">
        <v>122</v>
      </c>
      <c r="F33" s="67" t="s">
        <v>123</v>
      </c>
    </row>
    <row r="34" spans="1:6">
      <c r="A34" s="67">
        <f t="shared" si="2"/>
        <v>33</v>
      </c>
      <c r="B34" s="67" t="s">
        <v>124</v>
      </c>
      <c r="C34" s="67" t="s">
        <v>125</v>
      </c>
      <c r="D34" s="67" t="s">
        <v>121</v>
      </c>
      <c r="E34" s="67" t="s">
        <v>126</v>
      </c>
      <c r="F34" s="67" t="s">
        <v>127</v>
      </c>
    </row>
    <row r="35" spans="1:6">
      <c r="A35" s="67">
        <f t="shared" si="2"/>
        <v>34</v>
      </c>
      <c r="B35" s="67" t="s">
        <v>128</v>
      </c>
      <c r="C35" s="67" t="s">
        <v>129</v>
      </c>
      <c r="D35" s="67" t="s">
        <v>121</v>
      </c>
      <c r="E35" s="67" t="s">
        <v>130</v>
      </c>
      <c r="F35" s="12" t="s">
        <v>131</v>
      </c>
    </row>
    <row r="36" spans="1:6">
      <c r="A36" s="59">
        <f t="shared" si="2"/>
        <v>35</v>
      </c>
      <c r="B36" s="59" t="s">
        <v>132</v>
      </c>
      <c r="C36" s="59" t="s">
        <v>133</v>
      </c>
      <c r="D36" s="59" t="s">
        <v>121</v>
      </c>
      <c r="E36" s="59" t="s">
        <v>134</v>
      </c>
      <c r="F36" s="59" t="s">
        <v>135</v>
      </c>
    </row>
    <row r="37" spans="1:6">
      <c r="A37" s="67">
        <f t="shared" si="2"/>
        <v>36</v>
      </c>
      <c r="B37" s="67" t="s">
        <v>136</v>
      </c>
      <c r="C37" s="67" t="s">
        <v>137</v>
      </c>
      <c r="D37" s="67" t="s">
        <v>121</v>
      </c>
      <c r="E37" s="67" t="s">
        <v>138</v>
      </c>
      <c r="F37" s="67" t="s">
        <v>139</v>
      </c>
    </row>
    <row r="38" spans="1:6">
      <c r="A38" s="67">
        <f t="shared" si="2"/>
        <v>37</v>
      </c>
      <c r="B38" s="67" t="s">
        <v>140</v>
      </c>
      <c r="C38" s="67" t="s">
        <v>141</v>
      </c>
      <c r="D38" s="67" t="s">
        <v>142</v>
      </c>
      <c r="E38" s="67" t="s">
        <v>143</v>
      </c>
      <c r="F38" s="67" t="s">
        <v>144</v>
      </c>
    </row>
    <row r="39" spans="1:6">
      <c r="A39" s="67">
        <f t="shared" si="2"/>
        <v>38</v>
      </c>
      <c r="B39" s="67" t="s">
        <v>145</v>
      </c>
      <c r="C39" s="67" t="s">
        <v>146</v>
      </c>
      <c r="D39" s="67" t="s">
        <v>142</v>
      </c>
      <c r="E39" s="67" t="s">
        <v>147</v>
      </c>
      <c r="F39" s="12" t="s">
        <v>148</v>
      </c>
    </row>
    <row r="40" spans="1:6">
      <c r="A40" s="67">
        <f t="shared" si="2"/>
        <v>39</v>
      </c>
      <c r="B40" s="67" t="s">
        <v>149</v>
      </c>
      <c r="C40" s="67" t="s">
        <v>150</v>
      </c>
      <c r="D40" s="67" t="s">
        <v>142</v>
      </c>
      <c r="E40" s="67" t="s">
        <v>151</v>
      </c>
      <c r="F40" s="12" t="s">
        <v>152</v>
      </c>
    </row>
    <row r="41" spans="1:6">
      <c r="A41" s="67">
        <f t="shared" si="2"/>
        <v>40</v>
      </c>
      <c r="B41" s="67" t="s">
        <v>153</v>
      </c>
      <c r="C41" s="67" t="s">
        <v>150</v>
      </c>
      <c r="D41" s="67" t="s">
        <v>142</v>
      </c>
      <c r="E41" s="67" t="s">
        <v>154</v>
      </c>
      <c r="F41" s="12" t="s">
        <v>155</v>
      </c>
    </row>
    <row r="42" spans="1:6">
      <c r="A42" s="67">
        <f t="shared" si="2"/>
        <v>41</v>
      </c>
      <c r="B42" s="67" t="s">
        <v>156</v>
      </c>
      <c r="C42" s="67" t="s">
        <v>157</v>
      </c>
      <c r="D42" s="67" t="s">
        <v>142</v>
      </c>
      <c r="E42" s="67" t="s">
        <v>158</v>
      </c>
      <c r="F42" s="12" t="s">
        <v>159</v>
      </c>
    </row>
    <row r="43" spans="1:6">
      <c r="A43" s="59">
        <f t="shared" si="2"/>
        <v>42</v>
      </c>
      <c r="B43" s="59" t="s">
        <v>160</v>
      </c>
      <c r="C43" s="59" t="s">
        <v>157</v>
      </c>
      <c r="D43" s="59" t="s">
        <v>142</v>
      </c>
      <c r="E43" s="59" t="s">
        <v>161</v>
      </c>
      <c r="F43" s="12" t="s">
        <v>162</v>
      </c>
    </row>
    <row r="44" spans="1:6">
      <c r="A44" s="67">
        <f>A45+1</f>
        <v>42</v>
      </c>
      <c r="B44" s="67" t="s">
        <v>163</v>
      </c>
      <c r="C44" s="67" t="s">
        <v>164</v>
      </c>
      <c r="D44" s="67" t="s">
        <v>142</v>
      </c>
      <c r="E44" s="67" t="s">
        <v>165</v>
      </c>
      <c r="F44" s="12" t="s">
        <v>166</v>
      </c>
    </row>
    <row r="45" spans="1:6">
      <c r="A45" s="67">
        <f>A41+1</f>
        <v>41</v>
      </c>
      <c r="B45" s="67" t="s">
        <v>167</v>
      </c>
      <c r="C45" s="67" t="s">
        <v>168</v>
      </c>
      <c r="D45" s="67" t="s">
        <v>142</v>
      </c>
      <c r="E45" s="67" t="s">
        <v>169</v>
      </c>
      <c r="F45" s="12" t="s">
        <v>170</v>
      </c>
    </row>
    <row r="46" spans="1:6">
      <c r="A46" s="67">
        <f>A44+1</f>
        <v>43</v>
      </c>
      <c r="B46" s="67" t="s">
        <v>171</v>
      </c>
      <c r="C46" s="67" t="s">
        <v>172</v>
      </c>
      <c r="D46" s="67" t="s">
        <v>142</v>
      </c>
      <c r="E46" s="67" t="s">
        <v>173</v>
      </c>
      <c r="F46" s="12" t="s">
        <v>174</v>
      </c>
    </row>
    <row r="47" spans="1:6">
      <c r="A47" s="67">
        <f t="shared" si="2"/>
        <v>44</v>
      </c>
      <c r="B47" s="67" t="s">
        <v>175</v>
      </c>
      <c r="C47" s="67" t="s">
        <v>176</v>
      </c>
      <c r="D47" s="67" t="s">
        <v>177</v>
      </c>
      <c r="E47" s="67" t="s">
        <v>175</v>
      </c>
      <c r="F47" s="12" t="s">
        <v>178</v>
      </c>
    </row>
    <row r="48" spans="1:6">
      <c r="A48" s="59">
        <f t="shared" si="2"/>
        <v>45</v>
      </c>
      <c r="B48" s="59" t="s">
        <v>179</v>
      </c>
      <c r="C48" s="59" t="s">
        <v>176</v>
      </c>
      <c r="D48" s="59" t="s">
        <v>177</v>
      </c>
      <c r="E48" s="59" t="s">
        <v>180</v>
      </c>
      <c r="F48" s="12" t="s">
        <v>181</v>
      </c>
    </row>
    <row r="49" spans="1:6">
      <c r="A49" s="68">
        <f t="shared" si="2"/>
        <v>46</v>
      </c>
      <c r="B49" s="67"/>
      <c r="C49" s="67"/>
      <c r="D49" s="67"/>
      <c r="E49" s="67"/>
      <c r="F49" s="67"/>
    </row>
    <row r="50" spans="1:6">
      <c r="A50" s="67">
        <f t="shared" si="2"/>
        <v>47</v>
      </c>
      <c r="B50" s="67" t="s">
        <v>182</v>
      </c>
      <c r="C50" s="67"/>
      <c r="D50" s="67"/>
      <c r="E50" s="67"/>
      <c r="F50" s="67"/>
    </row>
    <row r="51" spans="1:6">
      <c r="A51" s="67">
        <f t="shared" si="2"/>
        <v>48</v>
      </c>
      <c r="B51" s="59"/>
      <c r="C51" s="59"/>
      <c r="D51" s="59"/>
      <c r="E51" s="59"/>
      <c r="F51" s="59"/>
    </row>
    <row r="52" spans="1:6">
      <c r="A52" s="67">
        <f t="shared" si="2"/>
        <v>49</v>
      </c>
      <c r="B52" s="67"/>
      <c r="C52" s="67"/>
      <c r="D52" s="67"/>
      <c r="E52" s="67"/>
      <c r="F52" s="67"/>
    </row>
    <row r="53" spans="1:6">
      <c r="A53" s="67">
        <f t="shared" si="2"/>
        <v>50</v>
      </c>
      <c r="B53" s="67"/>
      <c r="C53" s="67"/>
      <c r="D53" s="67"/>
      <c r="E53" s="67"/>
      <c r="F53" s="67"/>
    </row>
    <row r="54" spans="1:6">
      <c r="A54" s="67">
        <f t="shared" si="2"/>
        <v>51</v>
      </c>
      <c r="B54" s="67"/>
      <c r="C54" s="67"/>
      <c r="D54" s="67"/>
      <c r="E54" s="67"/>
      <c r="F54" s="67"/>
    </row>
    <row r="55" spans="1:6">
      <c r="A55" s="67">
        <f t="shared" si="2"/>
        <v>52</v>
      </c>
      <c r="B55" s="67"/>
      <c r="C55" s="67"/>
      <c r="D55" s="67"/>
      <c r="E55" s="67"/>
      <c r="F55" s="67"/>
    </row>
  </sheetData>
  <phoneticPr fontId="12" type="noConversion"/>
  <hyperlinks>
    <hyperlink ref="F9" r:id="rId1" xr:uid="{3462216B-3372-4C76-BAB6-B0D08B9B7693}"/>
    <hyperlink ref="F11" r:id="rId2" xr:uid="{183EA364-0A06-8046-94A1-57EC2FD73C80}"/>
    <hyperlink ref="F12" r:id="rId3" xr:uid="{7BDE30BB-6FAA-3443-9CBA-20BEC704E1FB}"/>
    <hyperlink ref="F13" r:id="rId4" xr:uid="{61231948-9336-6447-B582-B436A8542343}"/>
    <hyperlink ref="F14" r:id="rId5" xr:uid="{2ACA0B1E-F361-1143-A289-B2B649B04342}"/>
    <hyperlink ref="F20" r:id="rId6" display="https://maps.app.goo.gl/ZRsvaGWmhdK3ahqv8" xr:uid="{97A109A9-6D46-9546-859D-0EB405A0AD47}"/>
    <hyperlink ref="F16" r:id="rId7" xr:uid="{2644B43C-3DEC-BA49-B2B9-A8AD36EFAC4B}"/>
    <hyperlink ref="F21" r:id="rId8" xr:uid="{6AD2A141-DB62-714E-A971-3BFFA61E321E}"/>
    <hyperlink ref="F8" r:id="rId9" xr:uid="{B315F9FC-4F0F-4769-835D-C99DBAE95779}"/>
    <hyperlink ref="F25" r:id="rId10" xr:uid="{F5546C6E-ED72-534F-B857-F42245627764}"/>
    <hyperlink ref="F26" r:id="rId11" xr:uid="{F0F07E45-A772-3549-A3EC-8B3D2E758A58}"/>
    <hyperlink ref="F28" r:id="rId12" xr:uid="{56300654-7661-794A-8D57-75D21F2DFA11}"/>
    <hyperlink ref="F29" r:id="rId13" xr:uid="{EC5A00D7-2CE4-564B-A988-2934E38F0621}"/>
    <hyperlink ref="F27" r:id="rId14" xr:uid="{5E7A389B-9A39-4B4D-93D7-D5C59B6E29B7}"/>
    <hyperlink ref="F32" r:id="rId15" xr:uid="{4C9FCF45-6FAE-534F-B66C-ACD15B3BD460}"/>
    <hyperlink ref="F35" r:id="rId16" xr:uid="{178783F2-EF04-1B48-9BF9-AE9CD94CE2D8}"/>
    <hyperlink ref="F39" r:id="rId17" xr:uid="{4DE60043-81D8-E442-9510-1E759B0A32B7}"/>
    <hyperlink ref="F43" r:id="rId18" xr:uid="{80EF6E2F-0775-3749-8328-98802F6722B3}"/>
    <hyperlink ref="F41" r:id="rId19" xr:uid="{807417EF-22CA-974D-A872-38AD9922B0C2}"/>
    <hyperlink ref="F2" r:id="rId20" xr:uid="{F1C1AEB4-6906-44D3-9FB8-DF8843D8D106}"/>
    <hyperlink ref="F3" r:id="rId21" xr:uid="{2E2C39F3-6665-1D42-8E60-5346C0D3155A}"/>
    <hyperlink ref="F48" r:id="rId22" xr:uid="{B2BE22D0-CCB0-AE46-893F-52543AEA92C5}"/>
    <hyperlink ref="F45" r:id="rId23" xr:uid="{0F716CEF-086C-6544-A13D-C7391204AD9D}"/>
    <hyperlink ref="F42" r:id="rId24" xr:uid="{EFDFDD96-A799-3543-B82A-0A328A795D85}"/>
    <hyperlink ref="F40" r:id="rId25" xr:uid="{2808F68A-8132-CB43-94D6-CE07A3FBF768}"/>
  </hyperlinks>
  <pageMargins left="0.7" right="0.7" top="0.75" bottom="0.75" header="0.3" footer="0.3"/>
  <tableParts count="1">
    <tablePart r:id="rId2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4C2D-1DC0-4CAE-A02E-08E14F9D420E}">
  <dimension ref="B1:K82"/>
  <sheetViews>
    <sheetView tabSelected="1" topLeftCell="B40" zoomScale="140" zoomScaleNormal="140" workbookViewId="0">
      <selection activeCell="J72" sqref="J72"/>
    </sheetView>
  </sheetViews>
  <sheetFormatPr defaultColWidth="8.875" defaultRowHeight="14.1"/>
  <cols>
    <col min="2" max="2" width="11.125" bestFit="1" customWidth="1"/>
    <col min="3" max="3" width="4.375" customWidth="1"/>
    <col min="4" max="4" width="42.875" customWidth="1"/>
    <col min="5" max="5" width="43.875" bestFit="1" customWidth="1"/>
    <col min="6" max="7" width="10" customWidth="1"/>
    <col min="8" max="8" width="13.125" customWidth="1"/>
    <col min="9" max="9" width="14.875" customWidth="1"/>
    <col min="10" max="10" width="44.5" customWidth="1"/>
  </cols>
  <sheetData>
    <row r="1" spans="2:10" ht="15">
      <c r="B1" s="79" t="s">
        <v>183</v>
      </c>
      <c r="C1" s="79" t="s">
        <v>0</v>
      </c>
      <c r="D1" s="79" t="s">
        <v>184</v>
      </c>
      <c r="E1" s="79" t="s">
        <v>185</v>
      </c>
      <c r="F1" s="81" t="s">
        <v>186</v>
      </c>
      <c r="G1" s="81"/>
      <c r="H1" s="79" t="s">
        <v>187</v>
      </c>
      <c r="I1" s="79" t="s">
        <v>188</v>
      </c>
      <c r="J1" s="80" t="s">
        <v>189</v>
      </c>
    </row>
    <row r="2" spans="2:10" ht="15">
      <c r="B2" s="79"/>
      <c r="C2" s="79"/>
      <c r="D2" s="79"/>
      <c r="E2" s="79"/>
      <c r="F2" s="66" t="s">
        <v>190</v>
      </c>
      <c r="G2" s="66" t="s">
        <v>191</v>
      </c>
      <c r="H2" s="79"/>
      <c r="I2" s="79"/>
      <c r="J2" s="80"/>
    </row>
    <row r="3" spans="2:10" ht="15">
      <c r="B3" s="75">
        <v>46242</v>
      </c>
      <c r="C3" s="16">
        <v>1</v>
      </c>
      <c r="D3" s="17" t="s">
        <v>6</v>
      </c>
      <c r="E3" s="18" t="s">
        <v>11</v>
      </c>
      <c r="F3" s="19">
        <v>8</v>
      </c>
      <c r="G3" s="19">
        <f>F3*1.60934</f>
        <v>12.87472</v>
      </c>
      <c r="H3" s="20">
        <v>2.0833333333333332E-2</v>
      </c>
      <c r="I3" s="18" t="s">
        <v>188</v>
      </c>
      <c r="J3" s="18" t="s">
        <v>192</v>
      </c>
    </row>
    <row r="4" spans="2:10" ht="15">
      <c r="B4" s="75"/>
      <c r="C4" s="21">
        <v>2</v>
      </c>
      <c r="D4" s="22" t="s">
        <v>11</v>
      </c>
      <c r="E4" s="23" t="s">
        <v>11</v>
      </c>
      <c r="F4" s="24">
        <v>0</v>
      </c>
      <c r="G4" s="24">
        <v>0</v>
      </c>
      <c r="H4" s="25">
        <v>4.1666666666666664E-2</v>
      </c>
      <c r="I4" s="23" t="s">
        <v>193</v>
      </c>
      <c r="J4" s="23"/>
    </row>
    <row r="5" spans="2:10" ht="15">
      <c r="B5" s="75"/>
      <c r="C5" s="16">
        <v>3</v>
      </c>
      <c r="D5" s="17"/>
      <c r="E5" s="18"/>
      <c r="F5" s="19">
        <v>0</v>
      </c>
      <c r="G5" s="19">
        <f>F5*1.60934</f>
        <v>0</v>
      </c>
      <c r="H5" s="20">
        <v>2.0833333333333332E-2</v>
      </c>
      <c r="I5" s="18" t="s">
        <v>188</v>
      </c>
      <c r="J5" s="18"/>
    </row>
    <row r="6" spans="2:10" ht="15">
      <c r="B6" s="75"/>
      <c r="C6" s="21">
        <v>4</v>
      </c>
      <c r="D6" s="22"/>
      <c r="E6" s="23"/>
      <c r="F6" s="24">
        <v>0</v>
      </c>
      <c r="G6" s="24">
        <f>F6*1.60934</f>
        <v>0</v>
      </c>
      <c r="H6" s="25">
        <v>0.20833333333333334</v>
      </c>
      <c r="I6" s="23" t="s">
        <v>193</v>
      </c>
      <c r="J6" s="23"/>
    </row>
    <row r="7" spans="2:10" ht="15">
      <c r="B7" s="78"/>
      <c r="C7" s="26">
        <v>5</v>
      </c>
      <c r="D7" s="27"/>
      <c r="E7" s="28" t="s">
        <v>14</v>
      </c>
      <c r="F7" s="29">
        <v>0</v>
      </c>
      <c r="G7" s="29">
        <f>F7*1.60934</f>
        <v>0</v>
      </c>
      <c r="H7" s="30">
        <v>3.8194444444444448E-2</v>
      </c>
      <c r="I7" s="28" t="s">
        <v>188</v>
      </c>
      <c r="J7" s="28"/>
    </row>
    <row r="8" spans="2:10" ht="15">
      <c r="B8" s="69" t="s">
        <v>194</v>
      </c>
      <c r="C8" s="69"/>
      <c r="D8" s="69"/>
      <c r="E8" s="69"/>
      <c r="F8" s="13">
        <f>SUM(F3:F7)</f>
        <v>8</v>
      </c>
      <c r="G8" s="13">
        <f>SUM(G3:G7)</f>
        <v>12.87472</v>
      </c>
      <c r="H8" s="14">
        <f>SUM(H3:H7)</f>
        <v>0.32986111111111116</v>
      </c>
      <c r="I8" s="15"/>
      <c r="J8" s="15"/>
    </row>
    <row r="9" spans="2:10" ht="6.95" customHeight="1">
      <c r="B9" s="50"/>
      <c r="C9" s="50"/>
      <c r="D9" s="50"/>
      <c r="E9" s="50"/>
      <c r="F9" s="51"/>
      <c r="G9" s="51"/>
      <c r="H9" s="52"/>
      <c r="I9" s="53"/>
      <c r="J9" s="53"/>
    </row>
    <row r="10" spans="2:10" ht="15">
      <c r="B10" s="76">
        <v>46243</v>
      </c>
      <c r="C10" s="21">
        <f>C7+1</f>
        <v>6</v>
      </c>
      <c r="D10" s="22" t="s">
        <v>14</v>
      </c>
      <c r="E10" s="23" t="s">
        <v>17</v>
      </c>
      <c r="F10" s="24">
        <v>46</v>
      </c>
      <c r="G10" s="24">
        <f>F10*1.60934</f>
        <v>74.029640000000001</v>
      </c>
      <c r="H10" s="25">
        <v>0.05</v>
      </c>
      <c r="I10" s="23" t="s">
        <v>188</v>
      </c>
      <c r="J10" s="31" t="s">
        <v>195</v>
      </c>
    </row>
    <row r="11" spans="2:10" ht="15">
      <c r="B11" s="76"/>
      <c r="C11" s="36">
        <f>C10+1</f>
        <v>7</v>
      </c>
      <c r="D11" s="37" t="str">
        <f>E10</f>
        <v>Route 66 Pier</v>
      </c>
      <c r="E11" s="38" t="s">
        <v>20</v>
      </c>
      <c r="F11" s="39">
        <v>2</v>
      </c>
      <c r="G11" s="39">
        <f>F11*1.60934</f>
        <v>3.21868</v>
      </c>
      <c r="H11" s="40">
        <v>6.9444444444444441E-3</v>
      </c>
      <c r="I11" s="38" t="s">
        <v>188</v>
      </c>
      <c r="J11" s="63" t="s">
        <v>196</v>
      </c>
    </row>
    <row r="12" spans="2:10" ht="15">
      <c r="B12" s="76"/>
      <c r="C12" s="21">
        <f t="shared" ref="C12:C16" si="0">C11+1</f>
        <v>8</v>
      </c>
      <c r="D12" s="22" t="str">
        <f t="shared" ref="D12:D16" si="1">E11</f>
        <v>Historic Route 66 Begin Sign</v>
      </c>
      <c r="E12" s="23" t="s">
        <v>23</v>
      </c>
      <c r="F12" s="24">
        <v>38</v>
      </c>
      <c r="G12" s="24">
        <f>F12*1.60934</f>
        <v>61.154919999999997</v>
      </c>
      <c r="H12" s="25">
        <v>6.25E-2</v>
      </c>
      <c r="I12" s="23" t="s">
        <v>188</v>
      </c>
      <c r="J12" s="31" t="s">
        <v>197</v>
      </c>
    </row>
    <row r="13" spans="2:10" ht="15">
      <c r="B13" s="76"/>
      <c r="C13" s="36">
        <f t="shared" si="0"/>
        <v>9</v>
      </c>
      <c r="D13" s="37" t="str">
        <f t="shared" si="1"/>
        <v>Route 66 Park</v>
      </c>
      <c r="E13" s="38" t="s">
        <v>27</v>
      </c>
      <c r="F13" s="39">
        <v>1</v>
      </c>
      <c r="G13" s="39">
        <f>F13*1.60934</f>
        <v>1.60934</v>
      </c>
      <c r="H13" s="40">
        <v>3.472222222222222E-3</v>
      </c>
      <c r="I13" s="38" t="s">
        <v>188</v>
      </c>
      <c r="J13" s="63" t="s">
        <v>198</v>
      </c>
    </row>
    <row r="14" spans="2:10" ht="15">
      <c r="B14" s="76"/>
      <c r="C14" s="21">
        <f t="shared" si="0"/>
        <v>10</v>
      </c>
      <c r="D14" s="22" t="str">
        <f t="shared" si="1"/>
        <v>Jitters Coffee House</v>
      </c>
      <c r="E14" s="23" t="s">
        <v>30</v>
      </c>
      <c r="F14" s="24">
        <v>0</v>
      </c>
      <c r="G14" s="24">
        <f t="shared" ref="G14:G16" si="2">F14*1.60934</f>
        <v>0</v>
      </c>
      <c r="H14" s="25">
        <v>6.25E-2</v>
      </c>
      <c r="I14" s="23" t="s">
        <v>193</v>
      </c>
      <c r="J14" s="23"/>
    </row>
    <row r="15" spans="2:10" ht="15">
      <c r="B15" s="76"/>
      <c r="C15" s="36">
        <f t="shared" si="0"/>
        <v>11</v>
      </c>
      <c r="D15" s="37" t="str">
        <f t="shared" si="1"/>
        <v>Joliet Area Historical Museum</v>
      </c>
      <c r="E15" s="38" t="s">
        <v>33</v>
      </c>
      <c r="F15" s="39">
        <v>65</v>
      </c>
      <c r="G15" s="39">
        <f t="shared" si="2"/>
        <v>104.6071</v>
      </c>
      <c r="H15" s="40">
        <v>4.1666666666666664E-2</v>
      </c>
      <c r="I15" s="38" t="s">
        <v>188</v>
      </c>
      <c r="J15" s="63" t="s">
        <v>199</v>
      </c>
    </row>
    <row r="16" spans="2:10" ht="15">
      <c r="B16" s="77"/>
      <c r="C16" s="21">
        <f t="shared" si="0"/>
        <v>12</v>
      </c>
      <c r="D16" s="32" t="str">
        <f t="shared" si="1"/>
        <v>Route 66 Association of Illinois</v>
      </c>
      <c r="E16" s="33" t="s">
        <v>37</v>
      </c>
      <c r="F16" s="34">
        <v>105</v>
      </c>
      <c r="G16" s="34">
        <f t="shared" si="2"/>
        <v>168.98070000000001</v>
      </c>
      <c r="H16" s="35">
        <v>8.3333333333333329E-2</v>
      </c>
      <c r="I16" s="33" t="s">
        <v>188</v>
      </c>
      <c r="J16" s="33" t="s">
        <v>200</v>
      </c>
    </row>
    <row r="17" spans="2:10" ht="15">
      <c r="B17" s="72" t="s">
        <v>194</v>
      </c>
      <c r="C17" s="72"/>
      <c r="D17" s="72"/>
      <c r="E17" s="72"/>
      <c r="F17" s="41">
        <f>SUM(F10:F16)</f>
        <v>257</v>
      </c>
      <c r="G17" s="41">
        <f>SUM(G10:G16)</f>
        <v>413.60038000000003</v>
      </c>
      <c r="H17" s="42">
        <f>SUM(H10:H16)</f>
        <v>0.31041666666666667</v>
      </c>
      <c r="I17" s="43"/>
      <c r="J17" s="44"/>
    </row>
    <row r="18" spans="2:10" ht="6.95" customHeight="1">
      <c r="B18" s="54"/>
      <c r="C18" s="54"/>
      <c r="D18" s="54"/>
      <c r="E18" s="54"/>
      <c r="F18" s="55"/>
      <c r="G18" s="55"/>
      <c r="H18" s="56"/>
      <c r="I18" s="57"/>
      <c r="J18" s="58"/>
    </row>
    <row r="19" spans="2:10" ht="15">
      <c r="B19" s="75">
        <v>46244</v>
      </c>
      <c r="C19" s="16">
        <f>C16+1</f>
        <v>13</v>
      </c>
      <c r="D19" s="17" t="str">
        <f>E16</f>
        <v>Red Roof Inn Springfield, IL</v>
      </c>
      <c r="E19" s="18" t="s">
        <v>41</v>
      </c>
      <c r="F19" s="19">
        <v>105</v>
      </c>
      <c r="G19" s="19">
        <f>F19*1.60934</f>
        <v>168.98070000000001</v>
      </c>
      <c r="H19" s="20">
        <v>7.2916666666666671E-2</v>
      </c>
      <c r="I19" s="18" t="s">
        <v>188</v>
      </c>
      <c r="J19" s="45" t="s">
        <v>201</v>
      </c>
    </row>
    <row r="20" spans="2:10" ht="15">
      <c r="B20" s="75"/>
      <c r="C20" s="21">
        <f>C19+1</f>
        <v>14</v>
      </c>
      <c r="D20" s="22" t="str">
        <f>E19</f>
        <v>Gateway Arch National Park</v>
      </c>
      <c r="E20" s="23" t="s">
        <v>46</v>
      </c>
      <c r="F20" s="24">
        <v>54</v>
      </c>
      <c r="G20" s="24">
        <f>F20*1.60934</f>
        <v>86.904359999999997</v>
      </c>
      <c r="H20" s="25">
        <v>4.8611111111111112E-2</v>
      </c>
      <c r="I20" s="23" t="s">
        <v>188</v>
      </c>
      <c r="J20" s="31" t="s">
        <v>202</v>
      </c>
    </row>
    <row r="21" spans="2:10" ht="15">
      <c r="B21" s="75"/>
      <c r="C21" s="16">
        <f t="shared" ref="C21:C26" si="3">C20+1</f>
        <v>15</v>
      </c>
      <c r="D21" s="17" t="str">
        <f t="shared" ref="D21:D26" si="4">E20</f>
        <v>Route 66 Convenience Store</v>
      </c>
      <c r="E21" s="18" t="s">
        <v>50</v>
      </c>
      <c r="F21" s="19">
        <v>34</v>
      </c>
      <c r="G21" s="19">
        <f>F21*1.60934</f>
        <v>54.717559999999999</v>
      </c>
      <c r="H21" s="20">
        <v>4.1666666666666664E-2</v>
      </c>
      <c r="I21" s="18" t="s">
        <v>188</v>
      </c>
      <c r="J21" s="45" t="s">
        <v>203</v>
      </c>
    </row>
    <row r="22" spans="2:10" ht="15">
      <c r="B22" s="75"/>
      <c r="C22" s="21">
        <f t="shared" si="3"/>
        <v>16</v>
      </c>
      <c r="D22" s="22" t="str">
        <f t="shared" si="4"/>
        <v>Murals of Cuba</v>
      </c>
      <c r="E22" s="23" t="s">
        <v>54</v>
      </c>
      <c r="F22" s="24">
        <v>34</v>
      </c>
      <c r="G22" s="24">
        <f>F22*1.60934</f>
        <v>54.717559999999999</v>
      </c>
      <c r="H22" s="25">
        <v>4.1666666666666664E-2</v>
      </c>
      <c r="I22" s="23" t="s">
        <v>188</v>
      </c>
      <c r="J22" s="31" t="s">
        <v>204</v>
      </c>
    </row>
    <row r="23" spans="2:10" ht="15">
      <c r="B23" s="75"/>
      <c r="C23" s="16">
        <f t="shared" si="3"/>
        <v>17</v>
      </c>
      <c r="D23" s="17" t="str">
        <f t="shared" si="4"/>
        <v>Blue's Too Restaurant</v>
      </c>
      <c r="E23" s="18" t="s">
        <v>58</v>
      </c>
      <c r="F23" s="19">
        <v>53</v>
      </c>
      <c r="G23" s="19">
        <f t="shared" ref="G23:G26" si="5">F23*1.60934</f>
        <v>85.295019999999994</v>
      </c>
      <c r="H23" s="20">
        <v>5.4166666666666669E-2</v>
      </c>
      <c r="I23" s="18" t="s">
        <v>188</v>
      </c>
      <c r="J23" s="45" t="s">
        <v>205</v>
      </c>
    </row>
    <row r="24" spans="2:10" ht="15">
      <c r="B24" s="75"/>
      <c r="C24" s="21">
        <f t="shared" si="3"/>
        <v>18</v>
      </c>
      <c r="D24" s="22" t="str">
        <f t="shared" si="4"/>
        <v>Taco John´s</v>
      </c>
      <c r="E24" s="23" t="s">
        <v>62</v>
      </c>
      <c r="F24" s="24">
        <v>54</v>
      </c>
      <c r="G24" s="24">
        <f t="shared" si="5"/>
        <v>86.904359999999997</v>
      </c>
      <c r="H24" s="25">
        <v>5.4166666666666669E-2</v>
      </c>
      <c r="I24" s="23" t="s">
        <v>188</v>
      </c>
      <c r="J24" s="31" t="s">
        <v>206</v>
      </c>
    </row>
    <row r="25" spans="2:10" ht="15">
      <c r="B25" s="75"/>
      <c r="C25" s="16">
        <f t="shared" si="3"/>
        <v>19</v>
      </c>
      <c r="D25" s="17" t="str">
        <f t="shared" si="4"/>
        <v>Tuka Tacos</v>
      </c>
      <c r="E25" s="18" t="s">
        <v>65</v>
      </c>
      <c r="F25" s="19">
        <v>78</v>
      </c>
      <c r="G25" s="19">
        <f t="shared" si="5"/>
        <v>125.52852</v>
      </c>
      <c r="H25" s="20">
        <v>6.5972222222222224E-2</v>
      </c>
      <c r="I25" s="18" t="s">
        <v>188</v>
      </c>
      <c r="J25" s="45" t="s">
        <v>207</v>
      </c>
    </row>
    <row r="26" spans="2:10" ht="15">
      <c r="B26" s="75"/>
      <c r="C26" s="21">
        <f t="shared" si="3"/>
        <v>20</v>
      </c>
      <c r="D26" s="22" t="str">
        <f t="shared" si="4"/>
        <v>Route 66 Mural Park</v>
      </c>
      <c r="E26" s="23" t="s">
        <v>69</v>
      </c>
      <c r="F26" s="24">
        <v>4</v>
      </c>
      <c r="G26" s="24">
        <f t="shared" si="5"/>
        <v>6.43736</v>
      </c>
      <c r="H26" s="25">
        <v>7.6388888888888886E-3</v>
      </c>
      <c r="I26" s="23" t="s">
        <v>188</v>
      </c>
      <c r="J26" s="31" t="s">
        <v>208</v>
      </c>
    </row>
    <row r="27" spans="2:10" ht="15">
      <c r="B27" s="69" t="s">
        <v>194</v>
      </c>
      <c r="C27" s="69"/>
      <c r="D27" s="69"/>
      <c r="E27" s="69"/>
      <c r="F27" s="47">
        <f>SUM(F19:F26)</f>
        <v>416</v>
      </c>
      <c r="G27" s="47">
        <f>SUM(G19:G26)</f>
        <v>669.48543999999993</v>
      </c>
      <c r="H27" s="48">
        <f>SUM(H19:H26)</f>
        <v>0.38680555555555551</v>
      </c>
      <c r="I27" s="49"/>
      <c r="J27" s="49"/>
    </row>
    <row r="28" spans="2:10" ht="6.95" customHeight="1">
      <c r="B28" s="54"/>
      <c r="C28" s="54"/>
      <c r="D28" s="54"/>
      <c r="E28" s="54"/>
      <c r="F28" s="55"/>
      <c r="G28" s="55"/>
      <c r="H28" s="56"/>
      <c r="I28" s="57"/>
      <c r="J28" s="58"/>
    </row>
    <row r="29" spans="2:10" ht="15">
      <c r="B29" s="76">
        <v>46245</v>
      </c>
      <c r="C29" s="21">
        <f>C26+1</f>
        <v>21</v>
      </c>
      <c r="D29" s="22" t="str">
        <f>E26</f>
        <v>Days Inn by Wyndham Joplin</v>
      </c>
      <c r="E29" s="23" t="s">
        <v>72</v>
      </c>
      <c r="F29" s="24">
        <v>12</v>
      </c>
      <c r="G29" s="24">
        <f>F29*1.60934</f>
        <v>19.312080000000002</v>
      </c>
      <c r="H29" s="25">
        <v>1.4583333333333334E-2</v>
      </c>
      <c r="I29" s="23" t="s">
        <v>188</v>
      </c>
      <c r="J29" s="62" t="s">
        <v>209</v>
      </c>
    </row>
    <row r="30" spans="2:10" ht="15">
      <c r="B30" s="76"/>
      <c r="C30" s="36">
        <f>C29+1</f>
        <v>22</v>
      </c>
      <c r="D30" s="37" t="str">
        <f>E29</f>
        <v>Cars on the Route</v>
      </c>
      <c r="E30" s="38" t="s">
        <v>77</v>
      </c>
      <c r="F30" s="39">
        <v>93</v>
      </c>
      <c r="G30" s="39">
        <f>F30*1.60934</f>
        <v>149.66862</v>
      </c>
      <c r="H30" s="40">
        <v>7.8472222222222221E-2</v>
      </c>
      <c r="I30" s="38" t="s">
        <v>188</v>
      </c>
      <c r="J30" s="63" t="s">
        <v>210</v>
      </c>
    </row>
    <row r="31" spans="2:10" ht="15">
      <c r="B31" s="76"/>
      <c r="C31" s="21">
        <f t="shared" ref="C31:C44" si="6">C30+1</f>
        <v>23</v>
      </c>
      <c r="D31" s="22" t="str">
        <f t="shared" ref="D31:D34" si="7">E30</f>
        <v>J.M. Davis Arms &amp; Historical Museum</v>
      </c>
      <c r="E31" s="23" t="s">
        <v>82</v>
      </c>
      <c r="F31" s="24">
        <v>30</v>
      </c>
      <c r="G31" s="24">
        <f>F31*1.60934</f>
        <v>48.280200000000001</v>
      </c>
      <c r="H31" s="25">
        <v>3.888888888888889E-2</v>
      </c>
      <c r="I31" s="23" t="s">
        <v>188</v>
      </c>
      <c r="J31" s="31" t="s">
        <v>211</v>
      </c>
    </row>
    <row r="32" spans="2:10" ht="15">
      <c r="B32" s="76"/>
      <c r="C32" s="36">
        <f t="shared" si="6"/>
        <v>24</v>
      </c>
      <c r="D32" s="37" t="str">
        <f t="shared" si="7"/>
        <v>Quicktrip</v>
      </c>
      <c r="E32" s="38" t="s">
        <v>86</v>
      </c>
      <c r="F32" s="39">
        <v>53</v>
      </c>
      <c r="G32" s="39">
        <f>F32*1.60934</f>
        <v>85.295019999999994</v>
      </c>
      <c r="H32" s="40">
        <v>4.9305555555555554E-2</v>
      </c>
      <c r="I32" s="38" t="s">
        <v>188</v>
      </c>
      <c r="J32" s="63" t="s">
        <v>212</v>
      </c>
    </row>
    <row r="33" spans="2:10" ht="15">
      <c r="B33" s="76"/>
      <c r="C33" s="21">
        <f t="shared" si="6"/>
        <v>25</v>
      </c>
      <c r="D33" s="22" t="str">
        <f t="shared" si="7"/>
        <v>Rock Cafe</v>
      </c>
      <c r="E33" s="23" t="s">
        <v>90</v>
      </c>
      <c r="F33" s="24">
        <v>68</v>
      </c>
      <c r="G33" s="24">
        <f t="shared" ref="G33:G43" si="8">F33*1.60934</f>
        <v>109.43512</v>
      </c>
      <c r="H33" s="25">
        <v>6.25E-2</v>
      </c>
      <c r="I33" s="23" t="s">
        <v>188</v>
      </c>
      <c r="J33" s="31" t="s">
        <v>213</v>
      </c>
    </row>
    <row r="34" spans="2:10" ht="15">
      <c r="B34" s="77"/>
      <c r="C34" s="36">
        <f t="shared" si="6"/>
        <v>26</v>
      </c>
      <c r="D34" s="37" t="str">
        <f t="shared" si="7"/>
        <v>Lake Overholser Iron Bridge</v>
      </c>
      <c r="E34" s="38" t="s">
        <v>94</v>
      </c>
      <c r="F34" s="39">
        <v>7</v>
      </c>
      <c r="G34" s="39">
        <f t="shared" si="8"/>
        <v>11.26538</v>
      </c>
      <c r="H34" s="40">
        <v>1.0416666666666666E-2</v>
      </c>
      <c r="I34" s="38" t="s">
        <v>188</v>
      </c>
      <c r="J34" s="63" t="s">
        <v>214</v>
      </c>
    </row>
    <row r="35" spans="2:10" ht="15">
      <c r="B35" s="72" t="s">
        <v>194</v>
      </c>
      <c r="C35" s="72"/>
      <c r="D35" s="72"/>
      <c r="E35" s="72"/>
      <c r="F35" s="41">
        <f>SUM(F29:F34)</f>
        <v>263</v>
      </c>
      <c r="G35" s="41">
        <f>SUM(G29:G34)</f>
        <v>423.25641999999999</v>
      </c>
      <c r="H35" s="42">
        <f>SUM(H29:H34)</f>
        <v>0.25416666666666665</v>
      </c>
      <c r="I35" s="43"/>
      <c r="J35" s="44"/>
    </row>
    <row r="36" spans="2:10" ht="6.95" customHeight="1">
      <c r="B36" s="54"/>
      <c r="C36" s="54"/>
      <c r="D36" s="54"/>
      <c r="E36" s="54"/>
      <c r="F36" s="55"/>
      <c r="G36" s="55"/>
      <c r="H36" s="56"/>
      <c r="I36" s="57"/>
      <c r="J36" s="58"/>
    </row>
    <row r="37" spans="2:10" ht="15">
      <c r="B37" s="70">
        <v>46246</v>
      </c>
      <c r="C37" s="16">
        <f>C34+1</f>
        <v>27</v>
      </c>
      <c r="D37" s="17" t="str">
        <f>E34</f>
        <v>Howard Johnson by Wyndham Oklahoma City</v>
      </c>
      <c r="E37" s="18" t="s">
        <v>98</v>
      </c>
      <c r="F37" s="19">
        <v>63</v>
      </c>
      <c r="G37" s="19">
        <f t="shared" si="8"/>
        <v>101.38842</v>
      </c>
      <c r="H37" s="20">
        <v>6.25E-2</v>
      </c>
      <c r="I37" s="18" t="s">
        <v>188</v>
      </c>
      <c r="J37" s="45" t="s">
        <v>215</v>
      </c>
    </row>
    <row r="38" spans="2:10" ht="15">
      <c r="B38" s="70"/>
      <c r="C38" s="21">
        <f t="shared" si="6"/>
        <v>28</v>
      </c>
      <c r="D38" s="22" t="str">
        <f>E37</f>
        <v>Lucille's Historic Highway Gas Station</v>
      </c>
      <c r="E38" s="23" t="s">
        <v>102</v>
      </c>
      <c r="F38" s="24">
        <v>24</v>
      </c>
      <c r="G38" s="24">
        <f>F38*1.60934</f>
        <v>38.624160000000003</v>
      </c>
      <c r="H38" s="25">
        <v>2.7777777777777776E-2</v>
      </c>
      <c r="I38" s="23" t="s">
        <v>188</v>
      </c>
      <c r="J38" s="31" t="s">
        <v>216</v>
      </c>
    </row>
    <row r="39" spans="2:10" ht="15">
      <c r="B39" s="70"/>
      <c r="C39" s="16">
        <f t="shared" si="6"/>
        <v>29</v>
      </c>
      <c r="D39" s="17" t="str">
        <f t="shared" ref="D39:D43" si="9">E38</f>
        <v>Oklahoma Route 66 Museum</v>
      </c>
      <c r="E39" s="18" t="s">
        <v>106</v>
      </c>
      <c r="F39" s="19">
        <v>82</v>
      </c>
      <c r="G39" s="19">
        <f t="shared" si="8"/>
        <v>131.96588</v>
      </c>
      <c r="H39" s="20">
        <v>6.9444444444444448E-2</v>
      </c>
      <c r="I39" s="18" t="s">
        <v>188</v>
      </c>
      <c r="J39" s="45" t="s">
        <v>217</v>
      </c>
    </row>
    <row r="40" spans="2:10" ht="15">
      <c r="B40" s="70"/>
      <c r="C40" s="21">
        <f t="shared" si="6"/>
        <v>30</v>
      </c>
      <c r="D40" s="22" t="str">
        <f t="shared" si="9"/>
        <v>Conoco Tower Station &amp; U-Drop Inn Café</v>
      </c>
      <c r="E40" s="23" t="s">
        <v>110</v>
      </c>
      <c r="F40" s="24">
        <v>103</v>
      </c>
      <c r="G40" s="24">
        <f t="shared" si="8"/>
        <v>165.76202000000001</v>
      </c>
      <c r="H40" s="25">
        <v>7.6388888888888895E-2</v>
      </c>
      <c r="I40" s="23" t="s">
        <v>188</v>
      </c>
      <c r="J40" s="31" t="s">
        <v>218</v>
      </c>
    </row>
    <row r="41" spans="2:10" ht="15">
      <c r="B41" s="70"/>
      <c r="C41" s="16">
        <f t="shared" si="6"/>
        <v>31</v>
      </c>
      <c r="D41" s="17" t="str">
        <f t="shared" si="9"/>
        <v>Cadilac Ranch</v>
      </c>
      <c r="E41" s="18" t="s">
        <v>115</v>
      </c>
      <c r="F41" s="19">
        <v>42</v>
      </c>
      <c r="G41" s="19">
        <f t="shared" si="8"/>
        <v>67.592280000000002</v>
      </c>
      <c r="H41" s="20">
        <v>2.7777777777777776E-2</v>
      </c>
      <c r="I41" s="18" t="s">
        <v>188</v>
      </c>
      <c r="J41" s="45" t="s">
        <v>219</v>
      </c>
    </row>
    <row r="42" spans="2:10" ht="15">
      <c r="B42" s="70"/>
      <c r="C42" s="21">
        <f t="shared" si="6"/>
        <v>32</v>
      </c>
      <c r="D42" s="22" t="str">
        <f t="shared" si="9"/>
        <v>Midpoint Café / Midpoint Route 66 Sign</v>
      </c>
      <c r="E42" s="23" t="s">
        <v>119</v>
      </c>
      <c r="F42" s="24">
        <v>64</v>
      </c>
      <c r="G42" s="24">
        <f t="shared" si="8"/>
        <v>102.99776</v>
      </c>
      <c r="H42" s="25">
        <v>5.2083333333333336E-2</v>
      </c>
      <c r="I42" s="23" t="s">
        <v>188</v>
      </c>
      <c r="J42" s="31" t="s">
        <v>220</v>
      </c>
    </row>
    <row r="43" spans="2:10" ht="15">
      <c r="B43" s="70"/>
      <c r="C43" s="16">
        <f t="shared" si="6"/>
        <v>33</v>
      </c>
      <c r="D43" s="17" t="str">
        <f t="shared" si="9"/>
        <v>Blue Swallow Motel</v>
      </c>
      <c r="E43" s="18" t="s">
        <v>128</v>
      </c>
      <c r="F43" s="19">
        <v>161</v>
      </c>
      <c r="G43" s="19">
        <f t="shared" si="8"/>
        <v>259.10374000000002</v>
      </c>
      <c r="H43" s="20">
        <v>0.1111111111111111</v>
      </c>
      <c r="I43" s="18" t="s">
        <v>188</v>
      </c>
      <c r="J43" s="45" t="s">
        <v>221</v>
      </c>
    </row>
    <row r="44" spans="2:10" ht="15">
      <c r="B44" s="71"/>
      <c r="C44" s="21">
        <f t="shared" si="6"/>
        <v>34</v>
      </c>
      <c r="D44" s="22" t="str">
        <f>E43</f>
        <v>Tijeras Canyon Historical Marker</v>
      </c>
      <c r="E44" s="23" t="s">
        <v>132</v>
      </c>
      <c r="F44" s="24">
        <v>26</v>
      </c>
      <c r="G44" s="24">
        <f t="shared" ref="G44" si="10">F44*1.60934</f>
        <v>41.842840000000002</v>
      </c>
      <c r="H44" s="25">
        <v>2.4305555555555556E-2</v>
      </c>
      <c r="I44" s="23" t="s">
        <v>188</v>
      </c>
      <c r="J44" s="31" t="s">
        <v>222</v>
      </c>
    </row>
    <row r="45" spans="2:10" ht="15">
      <c r="B45" s="69" t="s">
        <v>194</v>
      </c>
      <c r="C45" s="69"/>
      <c r="D45" s="69"/>
      <c r="E45" s="69"/>
      <c r="F45" s="47">
        <f>SUM(F37:F44)</f>
        <v>565</v>
      </c>
      <c r="G45" s="47">
        <f>SUM(G37:G44)</f>
        <v>909.27710000000013</v>
      </c>
      <c r="H45" s="48">
        <f>SUM(H37:H44)</f>
        <v>0.4513888888888889</v>
      </c>
      <c r="I45" s="49"/>
      <c r="J45" s="49"/>
    </row>
    <row r="46" spans="2:10" ht="6.95" customHeight="1">
      <c r="B46" s="54"/>
      <c r="C46" s="54"/>
      <c r="D46" s="54"/>
      <c r="E46" s="54"/>
      <c r="F46" s="55"/>
      <c r="G46" s="55"/>
      <c r="H46" s="56"/>
      <c r="I46" s="57"/>
      <c r="J46" s="58"/>
    </row>
    <row r="47" spans="2:10" ht="15">
      <c r="B47" s="73">
        <v>46247</v>
      </c>
      <c r="C47" s="21">
        <f>C44+1</f>
        <v>35</v>
      </c>
      <c r="D47" s="22" t="str">
        <f>E44</f>
        <v>Days Inn &amp; Suites by Wyndham Albuquerque North</v>
      </c>
      <c r="E47" s="23" t="s">
        <v>136</v>
      </c>
      <c r="F47" s="24">
        <v>146</v>
      </c>
      <c r="G47" s="24">
        <f t="shared" ref="G47:G55" si="11">F47*1.60934</f>
        <v>234.96364</v>
      </c>
      <c r="H47" s="25">
        <v>0.10416666666666667</v>
      </c>
      <c r="I47" s="23" t="s">
        <v>188</v>
      </c>
      <c r="J47" s="62" t="s">
        <v>223</v>
      </c>
    </row>
    <row r="48" spans="2:10" ht="15">
      <c r="B48" s="73"/>
      <c r="C48" s="36">
        <f>C47+1</f>
        <v>36</v>
      </c>
      <c r="D48" s="37" t="str">
        <f>E47</f>
        <v>Historic El Rancho Hotel</v>
      </c>
      <c r="E48" s="38" t="s">
        <v>140</v>
      </c>
      <c r="F48" s="39">
        <v>100</v>
      </c>
      <c r="G48" s="39">
        <f t="shared" si="11"/>
        <v>160.934</v>
      </c>
      <c r="H48" s="40">
        <v>5.9027777777777776E-2</v>
      </c>
      <c r="I48" s="38" t="s">
        <v>188</v>
      </c>
      <c r="J48" s="63" t="s">
        <v>224</v>
      </c>
    </row>
    <row r="49" spans="2:11" ht="15">
      <c r="B49" s="73"/>
      <c r="C49" s="21">
        <f>C48+1</f>
        <v>37</v>
      </c>
      <c r="D49" s="22" t="str">
        <f t="shared" ref="D49:D55" si="12">E48</f>
        <v>Wigwam Motel</v>
      </c>
      <c r="E49" s="23" t="s">
        <v>145</v>
      </c>
      <c r="F49" s="24">
        <v>35</v>
      </c>
      <c r="G49" s="24">
        <f t="shared" si="11"/>
        <v>56.326900000000002</v>
      </c>
      <c r="H49" s="25">
        <v>2.0833333333333332E-2</v>
      </c>
      <c r="I49" s="23" t="s">
        <v>188</v>
      </c>
      <c r="J49" s="31" t="s">
        <v>225</v>
      </c>
      <c r="K49" s="67"/>
    </row>
    <row r="50" spans="2:11" ht="15">
      <c r="B50" s="73"/>
      <c r="C50" s="36">
        <f t="shared" ref="C50:C55" si="13">C49+1</f>
        <v>38</v>
      </c>
      <c r="D50" s="37" t="str">
        <f t="shared" si="12"/>
        <v>Standin' on the corner park</v>
      </c>
      <c r="E50" s="38" t="s">
        <v>156</v>
      </c>
      <c r="F50" s="39">
        <v>43</v>
      </c>
      <c r="G50" s="39">
        <f t="shared" si="11"/>
        <v>69.201620000000005</v>
      </c>
      <c r="H50" s="40">
        <v>3.125E-2</v>
      </c>
      <c r="I50" s="38" t="s">
        <v>188</v>
      </c>
      <c r="J50" s="63" t="s">
        <v>226</v>
      </c>
      <c r="K50" s="67"/>
    </row>
    <row r="51" spans="2:11" ht="15">
      <c r="B51" s="73"/>
      <c r="C51" s="21">
        <f t="shared" si="13"/>
        <v>39</v>
      </c>
      <c r="D51" s="22" t="str">
        <f t="shared" si="12"/>
        <v>Winona Station</v>
      </c>
      <c r="E51" s="23" t="s">
        <v>149</v>
      </c>
      <c r="F51" s="24">
        <v>59</v>
      </c>
      <c r="G51" s="24">
        <f t="shared" si="11"/>
        <v>94.951059999999998</v>
      </c>
      <c r="H51" s="25">
        <v>4.1666666666666664E-2</v>
      </c>
      <c r="I51" s="23" t="s">
        <v>188</v>
      </c>
      <c r="J51" s="31" t="s">
        <v>227</v>
      </c>
      <c r="K51" s="67"/>
    </row>
    <row r="52" spans="2:11" ht="15">
      <c r="B52" s="73"/>
      <c r="C52" s="36">
        <f t="shared" si="13"/>
        <v>40</v>
      </c>
      <c r="D52" s="37" t="str">
        <f t="shared" si="12"/>
        <v>Shell (Gas Station)</v>
      </c>
      <c r="E52" s="38" t="s">
        <v>153</v>
      </c>
      <c r="F52" s="39">
        <v>72</v>
      </c>
      <c r="G52" s="39">
        <f t="shared" si="11"/>
        <v>115.87248</v>
      </c>
      <c r="H52" s="40">
        <v>4.8611111111111112E-2</v>
      </c>
      <c r="I52" s="38" t="s">
        <v>188</v>
      </c>
      <c r="J52" s="63" t="s">
        <v>228</v>
      </c>
      <c r="K52" s="67"/>
    </row>
    <row r="53" spans="2:11" ht="15">
      <c r="B53" s="73"/>
      <c r="C53" s="21">
        <f t="shared" si="13"/>
        <v>41</v>
      </c>
      <c r="D53" s="22" t="str">
        <f t="shared" si="12"/>
        <v>Paria Canyon-Vermilion Cliffs Wilderness Area</v>
      </c>
      <c r="E53" s="23" t="s">
        <v>153</v>
      </c>
      <c r="F53" s="24">
        <v>0</v>
      </c>
      <c r="G53" s="24">
        <f t="shared" si="11"/>
        <v>0</v>
      </c>
      <c r="H53" s="25"/>
      <c r="I53" s="23" t="s">
        <v>193</v>
      </c>
      <c r="J53" s="31"/>
      <c r="K53" s="67"/>
    </row>
    <row r="54" spans="2:11" ht="15">
      <c r="B54" s="73"/>
      <c r="C54" s="36">
        <f t="shared" si="13"/>
        <v>42</v>
      </c>
      <c r="D54" s="37" t="str">
        <f t="shared" si="12"/>
        <v>Paria Canyon-Vermilion Cliffs Wilderness Area</v>
      </c>
      <c r="E54" s="38" t="s">
        <v>149</v>
      </c>
      <c r="F54" s="39">
        <v>72</v>
      </c>
      <c r="G54" s="39">
        <f t="shared" si="11"/>
        <v>115.87248</v>
      </c>
      <c r="H54" s="40">
        <v>4.8611111111111112E-2</v>
      </c>
      <c r="I54" s="38" t="s">
        <v>188</v>
      </c>
      <c r="J54" s="63" t="s">
        <v>229</v>
      </c>
      <c r="K54" s="67"/>
    </row>
    <row r="55" spans="2:11" ht="15">
      <c r="B55" s="74"/>
      <c r="C55" s="21">
        <f t="shared" si="13"/>
        <v>43</v>
      </c>
      <c r="D55" s="22" t="str">
        <f t="shared" si="12"/>
        <v>Shell (Gas Station)</v>
      </c>
      <c r="E55" s="23" t="s">
        <v>160</v>
      </c>
      <c r="F55" s="24">
        <v>56</v>
      </c>
      <c r="G55" s="24">
        <f t="shared" si="11"/>
        <v>90.123040000000003</v>
      </c>
      <c r="H55" s="25">
        <v>4.1666666666666664E-2</v>
      </c>
      <c r="I55" s="23" t="s">
        <v>188</v>
      </c>
      <c r="J55" s="31" t="s">
        <v>230</v>
      </c>
      <c r="K55" s="67"/>
    </row>
    <row r="56" spans="2:11" ht="15">
      <c r="B56" s="72" t="s">
        <v>194</v>
      </c>
      <c r="C56" s="72"/>
      <c r="D56" s="72"/>
      <c r="E56" s="72"/>
      <c r="F56" s="41">
        <f>SUM(F47:F55)</f>
        <v>583</v>
      </c>
      <c r="G56" s="41">
        <f>SUM(G47:G55)</f>
        <v>938.24522000000002</v>
      </c>
      <c r="H56" s="42">
        <f>SUM(H47:H55)</f>
        <v>0.39583333333333337</v>
      </c>
      <c r="I56" s="43"/>
      <c r="J56" s="44"/>
      <c r="K56" s="67"/>
    </row>
    <row r="57" spans="2:11" ht="6.95" customHeight="1">
      <c r="B57" s="54"/>
      <c r="C57" s="54"/>
      <c r="D57" s="54"/>
      <c r="E57" s="54"/>
      <c r="F57" s="55"/>
      <c r="G57" s="55"/>
      <c r="H57" s="56"/>
      <c r="I57" s="57"/>
      <c r="J57" s="58"/>
      <c r="K57" s="67"/>
    </row>
    <row r="58" spans="2:11" ht="15">
      <c r="B58" s="70">
        <v>46248</v>
      </c>
      <c r="C58" s="16">
        <f>C55+1</f>
        <v>44</v>
      </c>
      <c r="D58" s="17" t="str">
        <f>E55</f>
        <v>The Overland Hotel Downtown Flagstaff</v>
      </c>
      <c r="E58" s="18" t="s">
        <v>163</v>
      </c>
      <c r="F58" s="19">
        <v>33</v>
      </c>
      <c r="G58" s="19">
        <f t="shared" ref="G58" si="14">F58*1.60934</f>
        <v>53.108220000000003</v>
      </c>
      <c r="H58" s="20">
        <v>2.4305555555555556E-2</v>
      </c>
      <c r="I58" s="18" t="s">
        <v>188</v>
      </c>
      <c r="J58" s="45" t="s">
        <v>231</v>
      </c>
      <c r="K58" s="67"/>
    </row>
    <row r="59" spans="2:11" ht="15">
      <c r="B59" s="70"/>
      <c r="C59" s="21">
        <f>C58+1</f>
        <v>45</v>
      </c>
      <c r="D59" s="22" t="str">
        <f>E58</f>
        <v>Pete's Route 66 Gas Station Museum</v>
      </c>
      <c r="E59" s="23" t="s">
        <v>167</v>
      </c>
      <c r="F59" s="24">
        <v>42</v>
      </c>
      <c r="G59" s="24">
        <f>F59*1.60934</f>
        <v>67.592280000000002</v>
      </c>
      <c r="H59" s="25">
        <v>3.125E-2</v>
      </c>
      <c r="I59" s="23" t="s">
        <v>188</v>
      </c>
      <c r="J59" s="31" t="s">
        <v>232</v>
      </c>
      <c r="K59" s="67"/>
    </row>
    <row r="60" spans="2:11" ht="15">
      <c r="B60" s="70"/>
      <c r="C60" s="16">
        <f>C59+1</f>
        <v>46</v>
      </c>
      <c r="D60" s="17" t="str">
        <f>E59</f>
        <v>Route 66-Seligman</v>
      </c>
      <c r="E60" s="18" t="s">
        <v>171</v>
      </c>
      <c r="F60" s="19">
        <v>88</v>
      </c>
      <c r="G60" s="19">
        <f>F60*1.60934</f>
        <v>141.62191999999999</v>
      </c>
      <c r="H60" s="20">
        <v>6.25E-2</v>
      </c>
      <c r="I60" s="18" t="s">
        <v>188</v>
      </c>
      <c r="J60" s="45" t="s">
        <v>233</v>
      </c>
      <c r="K60" s="67"/>
    </row>
    <row r="61" spans="2:11" ht="15">
      <c r="B61" s="70"/>
      <c r="C61" s="21">
        <f>C60+1</f>
        <v>47</v>
      </c>
      <c r="D61" s="22" t="str">
        <f>E60</f>
        <v>Arizona Route 66 Museum</v>
      </c>
      <c r="E61" s="23" t="s">
        <v>175</v>
      </c>
      <c r="F61" s="24">
        <v>75</v>
      </c>
      <c r="G61" s="24">
        <f>F61*1.60934</f>
        <v>120.70050000000001</v>
      </c>
      <c r="H61" s="25">
        <v>4.8611111111111112E-2</v>
      </c>
      <c r="I61" s="23" t="s">
        <v>188</v>
      </c>
      <c r="J61" s="31" t="s">
        <v>234</v>
      </c>
      <c r="K61" s="67"/>
    </row>
    <row r="62" spans="2:11" ht="15">
      <c r="B62" s="70"/>
      <c r="C62" s="16">
        <f>C61+1</f>
        <v>48</v>
      </c>
      <c r="D62" s="17" t="str">
        <f>E61</f>
        <v>Hover Dam</v>
      </c>
      <c r="E62" s="18" t="s">
        <v>175</v>
      </c>
      <c r="F62" s="19">
        <v>0</v>
      </c>
      <c r="G62" s="19">
        <f>F62*1.60934</f>
        <v>0</v>
      </c>
      <c r="H62" s="20">
        <v>8.3333333333333329E-2</v>
      </c>
      <c r="I62" s="18" t="s">
        <v>188</v>
      </c>
      <c r="J62" s="45"/>
      <c r="K62" s="67"/>
    </row>
    <row r="63" spans="2:11" ht="15">
      <c r="B63" s="70"/>
      <c r="C63" s="21">
        <f>C62+1</f>
        <v>49</v>
      </c>
      <c r="D63" s="22" t="str">
        <f>E62</f>
        <v>Hover Dam</v>
      </c>
      <c r="E63" s="23" t="s">
        <v>179</v>
      </c>
      <c r="F63" s="24">
        <v>36</v>
      </c>
      <c r="G63" s="24">
        <f>F63*1.60934</f>
        <v>57.936239999999998</v>
      </c>
      <c r="H63" s="25">
        <v>2.7777777777777776E-2</v>
      </c>
      <c r="I63" s="23" t="s">
        <v>188</v>
      </c>
      <c r="J63" s="31" t="s">
        <v>235</v>
      </c>
      <c r="K63" s="31"/>
    </row>
    <row r="64" spans="2:11" ht="15">
      <c r="B64" s="69" t="s">
        <v>194</v>
      </c>
      <c r="C64" s="69"/>
      <c r="D64" s="69"/>
      <c r="E64" s="69"/>
      <c r="F64" s="47">
        <f>SUM(F58:F63)</f>
        <v>274</v>
      </c>
      <c r="G64" s="47">
        <f>SUM(G58:G63)</f>
        <v>440.95916</v>
      </c>
      <c r="H64" s="48">
        <f>SUM(H58:H63)</f>
        <v>0.27777777777777779</v>
      </c>
      <c r="I64" s="49"/>
      <c r="J64" s="49"/>
      <c r="K64" s="67"/>
    </row>
    <row r="65" spans="2:10" ht="6.95" customHeight="1">
      <c r="B65" s="54"/>
      <c r="C65" s="54"/>
      <c r="D65" s="54"/>
      <c r="E65" s="54"/>
      <c r="F65" s="55"/>
      <c r="G65" s="55"/>
      <c r="H65" s="56"/>
      <c r="I65" s="57"/>
      <c r="J65" s="58"/>
    </row>
    <row r="66" spans="2:10">
      <c r="B66" s="11"/>
      <c r="C66" s="11"/>
      <c r="D66" s="67"/>
      <c r="E66" s="67"/>
      <c r="F66" s="5"/>
      <c r="G66" s="5"/>
      <c r="H66" s="7"/>
      <c r="I66" s="67"/>
      <c r="J66" s="67"/>
    </row>
    <row r="67" spans="2:10">
      <c r="B67" s="11"/>
      <c r="C67" s="11"/>
      <c r="D67" s="67"/>
      <c r="E67" s="67"/>
      <c r="F67" s="5"/>
      <c r="G67" s="5"/>
      <c r="H67" s="7"/>
      <c r="I67" s="67"/>
      <c r="J67" s="67"/>
    </row>
    <row r="68" spans="2:10">
      <c r="B68" s="11"/>
      <c r="C68" s="11"/>
      <c r="D68" s="67"/>
      <c r="E68" s="67"/>
      <c r="F68" s="5"/>
      <c r="G68" s="5"/>
      <c r="H68" s="7"/>
      <c r="I68" s="67"/>
      <c r="J68" s="67"/>
    </row>
    <row r="69" spans="2:10">
      <c r="B69" s="11"/>
      <c r="C69" s="11"/>
      <c r="D69" s="67"/>
      <c r="E69" s="67"/>
      <c r="F69" s="5"/>
      <c r="G69" s="5"/>
      <c r="H69" s="7"/>
      <c r="I69" s="67"/>
      <c r="J69" s="67"/>
    </row>
    <row r="70" spans="2:10">
      <c r="B70" s="11"/>
      <c r="C70" s="11"/>
      <c r="D70" s="67"/>
      <c r="E70" s="67"/>
      <c r="F70" s="5"/>
      <c r="G70" s="5"/>
      <c r="H70" s="7"/>
      <c r="I70" s="67"/>
      <c r="J70" s="67"/>
    </row>
    <row r="71" spans="2:10">
      <c r="B71" s="11"/>
      <c r="C71" s="11"/>
      <c r="D71" s="67"/>
      <c r="E71" s="67"/>
      <c r="F71" s="5"/>
      <c r="G71" s="5"/>
      <c r="H71" s="7"/>
      <c r="I71" s="67"/>
      <c r="J71" s="67"/>
    </row>
    <row r="72" spans="2:10">
      <c r="B72" s="11"/>
      <c r="C72" s="11"/>
      <c r="D72" s="67"/>
      <c r="E72" s="67"/>
      <c r="F72" s="5"/>
      <c r="G72" s="5"/>
      <c r="H72" s="7"/>
      <c r="I72" s="67"/>
      <c r="J72" s="67"/>
    </row>
    <row r="73" spans="2:10">
      <c r="B73" s="11"/>
      <c r="C73" s="11"/>
      <c r="D73" s="67"/>
      <c r="E73" s="67"/>
      <c r="F73" s="5"/>
      <c r="G73" s="5"/>
      <c r="H73" s="7"/>
      <c r="I73" s="67"/>
      <c r="J73" s="67"/>
    </row>
    <row r="74" spans="2:10">
      <c r="B74" s="11"/>
      <c r="C74" s="11"/>
      <c r="D74" s="67"/>
      <c r="E74" s="67"/>
      <c r="F74" s="5"/>
      <c r="G74" s="5"/>
      <c r="H74" s="7"/>
      <c r="I74" s="67"/>
      <c r="J74" s="67"/>
    </row>
    <row r="75" spans="2:10">
      <c r="B75" s="11"/>
      <c r="C75" s="11"/>
      <c r="D75" s="67"/>
      <c r="E75" s="67"/>
      <c r="F75" s="5"/>
      <c r="G75" s="5"/>
      <c r="H75" s="7"/>
      <c r="I75" s="67"/>
      <c r="J75" s="67"/>
    </row>
    <row r="76" spans="2:10">
      <c r="B76" s="11"/>
      <c r="C76" s="11"/>
      <c r="D76" s="67"/>
      <c r="E76" s="67"/>
      <c r="F76" s="5"/>
      <c r="G76" s="5"/>
      <c r="H76" s="7"/>
      <c r="I76" s="67"/>
      <c r="J76" s="67"/>
    </row>
    <row r="77" spans="2:10">
      <c r="B77" s="11"/>
      <c r="C77" s="11"/>
      <c r="D77" s="67"/>
      <c r="E77" s="67"/>
      <c r="F77" s="5"/>
      <c r="G77" s="5"/>
      <c r="H77" s="7"/>
      <c r="I77" s="67"/>
      <c r="J77" s="67"/>
    </row>
    <row r="78" spans="2:10">
      <c r="B78" s="11"/>
      <c r="C78" s="11"/>
      <c r="D78" s="67"/>
      <c r="E78" s="67"/>
      <c r="F78" s="5"/>
      <c r="G78" s="5"/>
      <c r="H78" s="7"/>
      <c r="I78" s="67"/>
      <c r="J78" s="67"/>
    </row>
    <row r="79" spans="2:10">
      <c r="B79" s="11"/>
      <c r="C79" s="11"/>
      <c r="D79" s="67"/>
      <c r="E79" s="67"/>
      <c r="F79" s="5"/>
      <c r="G79" s="5"/>
      <c r="H79" s="7"/>
      <c r="I79" s="67"/>
      <c r="J79" s="67"/>
    </row>
    <row r="80" spans="2:10">
      <c r="B80" s="11"/>
      <c r="C80" s="11"/>
      <c r="D80" s="67"/>
      <c r="E80" s="67"/>
      <c r="F80" s="5"/>
      <c r="G80" s="5"/>
      <c r="H80" s="7"/>
      <c r="I80" s="67"/>
      <c r="J80" s="67"/>
    </row>
    <row r="81" spans="2:8">
      <c r="B81" s="11"/>
      <c r="C81" s="11"/>
      <c r="D81" s="67"/>
      <c r="E81" s="67"/>
      <c r="F81" s="5"/>
      <c r="G81" s="5"/>
      <c r="H81" s="7"/>
    </row>
    <row r="82" spans="2:8">
      <c r="B82" s="11"/>
      <c r="C82" s="11"/>
      <c r="D82" s="67"/>
      <c r="E82" s="67"/>
      <c r="F82" s="5"/>
      <c r="G82" s="5"/>
      <c r="H82" s="7"/>
    </row>
  </sheetData>
  <mergeCells count="22">
    <mergeCell ref="B8:E8"/>
    <mergeCell ref="B3:B7"/>
    <mergeCell ref="I1:I2"/>
    <mergeCell ref="J1:J2"/>
    <mergeCell ref="F1:G1"/>
    <mergeCell ref="B1:B2"/>
    <mergeCell ref="D1:D2"/>
    <mergeCell ref="E1:E2"/>
    <mergeCell ref="H1:H2"/>
    <mergeCell ref="C1:C2"/>
    <mergeCell ref="B27:E27"/>
    <mergeCell ref="B19:B26"/>
    <mergeCell ref="B35:E35"/>
    <mergeCell ref="B29:B34"/>
    <mergeCell ref="B10:B16"/>
    <mergeCell ref="B17:E17"/>
    <mergeCell ref="B64:E64"/>
    <mergeCell ref="B58:B63"/>
    <mergeCell ref="B45:E45"/>
    <mergeCell ref="B37:B44"/>
    <mergeCell ref="B56:E56"/>
    <mergeCell ref="B47:B55"/>
  </mergeCells>
  <phoneticPr fontId="12" type="noConversion"/>
  <hyperlinks>
    <hyperlink ref="J12" r:id="rId1" xr:uid="{39993149-3897-4E38-9021-BC66806121D1}"/>
    <hyperlink ref="J15" r:id="rId2" xr:uid="{E58C54DC-90B7-2A46-9D97-AB5513ED61FF}"/>
    <hyperlink ref="J16" r:id="rId3" xr:uid="{EACF408D-E5A5-C944-8AA3-8B5D758E0CB8}"/>
    <hyperlink ref="J19" r:id="rId4" xr:uid="{7C1B5738-A619-6547-8B14-996F575B3723}"/>
    <hyperlink ref="J20" r:id="rId5" xr:uid="{FE8A4AB7-F3B8-6E48-8FAE-B01B135B577E}"/>
    <hyperlink ref="J21" r:id="rId6" xr:uid="{B80049B5-04EC-5F40-8E6D-5AA09220DFF7}"/>
    <hyperlink ref="J22" r:id="rId7" xr:uid="{FB7663A0-0ABC-0443-AD7E-094CF3A9E41B}"/>
    <hyperlink ref="J23" r:id="rId8" xr:uid="{BB99C829-EEE2-9E45-BE0B-706394C582E9}"/>
    <hyperlink ref="J24" r:id="rId9" xr:uid="{F2B82B3C-64CF-3D43-8699-CBA9B9862EBF}"/>
    <hyperlink ref="J25" r:id="rId10" xr:uid="{0B242053-82BF-AD44-898A-A563C88ED4DC}"/>
    <hyperlink ref="J26" r:id="rId11" xr:uid="{7B1BC061-BD36-514B-936F-C792C07E23A6}"/>
    <hyperlink ref="J29" r:id="rId12" xr:uid="{9A3882D9-B1AF-EA4C-90AE-968854A5E9CD}"/>
    <hyperlink ref="J30" r:id="rId13" xr:uid="{A0B85EF1-0447-E448-AB43-A9E5EBD63A27}"/>
    <hyperlink ref="J32" r:id="rId14" xr:uid="{6CD889E5-8780-4F43-B86E-5FDEC3DED008}"/>
    <hyperlink ref="J33" r:id="rId15" xr:uid="{9A6CC746-6F00-5148-A09C-7227E6A0EF3C}"/>
    <hyperlink ref="J34" r:id="rId16" xr:uid="{0308B510-2873-9D47-B65A-05C009D424BB}"/>
    <hyperlink ref="J38" r:id="rId17" xr:uid="{04B2FE35-8761-4247-9A7B-1FB2AC10CAE9}"/>
    <hyperlink ref="J10" r:id="rId18" xr:uid="{3ED5FA84-5662-E44E-A430-043954DD7040}"/>
    <hyperlink ref="J11" r:id="rId19" xr:uid="{01F10A31-8964-B24F-8401-9C72426CA3A0}"/>
    <hyperlink ref="J13" r:id="rId20" xr:uid="{042B15D7-3701-FC43-9015-717F05B4D409}"/>
    <hyperlink ref="J31" r:id="rId21" xr:uid="{55343896-4195-1242-BC9E-072D877B5205}"/>
    <hyperlink ref="J39" r:id="rId22" xr:uid="{1F6BCB2C-BCB6-3645-9DB2-2C7FD4E93BC0}"/>
    <hyperlink ref="J40" r:id="rId23" xr:uid="{940ED481-C9D3-4F45-8C03-DC59498CF0FD}"/>
    <hyperlink ref="J41" r:id="rId24" xr:uid="{F0C31322-832B-A647-9E54-FC539F9511C0}"/>
    <hyperlink ref="J44" r:id="rId25" xr:uid="{C767A5B0-B376-1145-B630-BDDD21F96B57}"/>
    <hyperlink ref="J43" r:id="rId26" xr:uid="{75FB330A-24B8-E64A-9D63-5B1A5CE4F70B}"/>
    <hyperlink ref="J42" r:id="rId27" xr:uid="{63206721-A375-C842-8CD2-C5BB965B586C}"/>
    <hyperlink ref="J47" r:id="rId28" xr:uid="{4313ED51-85EA-7C49-A98F-CD302DC04CEA}"/>
    <hyperlink ref="J49" r:id="rId29" xr:uid="{D92D4091-457F-A24D-B3D0-BFAA39E67DCC}"/>
    <hyperlink ref="J48" r:id="rId30" xr:uid="{79A0EFA6-68DA-464A-A5DC-88034B55A4FF}"/>
    <hyperlink ref="J58" r:id="rId31" xr:uid="{1A0ADB92-CB6A-6149-9C59-527A7BDF50EB}"/>
  </hyperlinks>
  <pageMargins left="0.7" right="0.7" top="0.75" bottom="0.75" header="0.3" footer="0.3"/>
  <pageSetup orientation="portrait" r:id="rId32"/>
  <ignoredErrors>
    <ignoredError sqref="G8" formula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8E5CF31-13F4-2C46-A583-E243AF4E111E}">
          <x14:formula1>
            <xm:f>'Lista de Lugares'!$B$2:$B$106</xm:f>
          </x14:formula1>
          <xm:sqref>D3:E7 D47:E55 D19:E26 D44:E44 E43 E41 D42:E42 D37:E40 D29:E34 D10:E16 D58:E63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8"/>
  <sheetViews>
    <sheetView topLeftCell="A25" zoomScale="125" zoomScaleNormal="100" workbookViewId="0">
      <selection activeCell="H50" sqref="H50"/>
    </sheetView>
  </sheetViews>
  <sheetFormatPr defaultColWidth="8.875" defaultRowHeight="14.1"/>
  <cols>
    <col min="1" max="1" width="32" bestFit="1" customWidth="1"/>
    <col min="2" max="2" width="9.5" customWidth="1"/>
    <col min="3" max="3" width="38.375" customWidth="1"/>
    <col min="4" max="4" width="18" customWidth="1"/>
    <col min="5" max="6" width="6.375" customWidth="1"/>
    <col min="7" max="7" width="15.625" bestFit="1" customWidth="1"/>
    <col min="8" max="8" width="55.125" customWidth="1"/>
    <col min="9" max="9" width="66.375" customWidth="1"/>
    <col min="10" max="10" width="46.125" customWidth="1"/>
    <col min="11" max="11" width="12.125" customWidth="1"/>
    <col min="12" max="12" width="26.875" customWidth="1"/>
  </cols>
  <sheetData>
    <row r="1" spans="1:12" ht="22.35" customHeight="1">
      <c r="A1" s="82" t="s">
        <v>236</v>
      </c>
      <c r="B1" s="83"/>
      <c r="C1" s="83"/>
      <c r="D1" s="83"/>
      <c r="E1" s="83"/>
      <c r="F1" s="83"/>
      <c r="G1" s="83"/>
      <c r="H1" s="67"/>
      <c r="I1" s="67"/>
      <c r="J1" s="67"/>
      <c r="K1" s="67"/>
      <c r="L1" s="67"/>
    </row>
    <row r="2" spans="1:12" ht="15">
      <c r="A2" s="1" t="s">
        <v>237</v>
      </c>
      <c r="B2" s="4">
        <f>SUM(F6:F58)</f>
        <v>0</v>
      </c>
      <c r="C2" s="67"/>
      <c r="D2" s="67"/>
      <c r="E2" s="67"/>
      <c r="F2" s="67"/>
      <c r="G2" s="67"/>
      <c r="H2" s="67"/>
      <c r="I2" s="67"/>
      <c r="J2" s="67"/>
      <c r="K2" s="67"/>
      <c r="L2" s="67"/>
    </row>
    <row r="3" spans="1:12" ht="15">
      <c r="A3" s="1" t="s">
        <v>238</v>
      </c>
      <c r="B3" s="3">
        <f>COUNTA(B6:B58)</f>
        <v>8</v>
      </c>
      <c r="C3" s="67"/>
      <c r="D3" s="67"/>
      <c r="E3" s="67"/>
      <c r="F3" s="67"/>
      <c r="G3" s="67"/>
      <c r="H3" s="67"/>
      <c r="I3" s="67"/>
      <c r="J3" s="67"/>
      <c r="K3" s="67"/>
      <c r="L3" s="67"/>
    </row>
    <row r="5" spans="1:12" ht="27.2" customHeight="1">
      <c r="A5" s="66" t="s">
        <v>239</v>
      </c>
      <c r="B5" s="66" t="s">
        <v>240</v>
      </c>
      <c r="C5" s="66" t="s">
        <v>241</v>
      </c>
      <c r="D5" s="66" t="s">
        <v>3</v>
      </c>
      <c r="E5" s="66" t="s">
        <v>242</v>
      </c>
      <c r="F5" s="66" t="s">
        <v>243</v>
      </c>
      <c r="G5" s="66" t="s">
        <v>244</v>
      </c>
      <c r="H5" s="66" t="s">
        <v>245</v>
      </c>
      <c r="I5" s="66" t="s">
        <v>246</v>
      </c>
      <c r="J5" s="66" t="s">
        <v>5</v>
      </c>
      <c r="K5" s="66" t="s">
        <v>247</v>
      </c>
      <c r="L5" s="66" t="s">
        <v>248</v>
      </c>
    </row>
    <row r="6" spans="1:12">
      <c r="A6" s="6"/>
      <c r="B6" s="67"/>
      <c r="C6" s="67"/>
      <c r="D6" s="67"/>
      <c r="E6" s="5"/>
      <c r="F6" s="5"/>
      <c r="G6" s="8"/>
      <c r="H6" s="67"/>
      <c r="I6" s="67"/>
      <c r="J6" s="67"/>
      <c r="K6" s="67"/>
      <c r="L6" s="67"/>
    </row>
    <row r="7" spans="1:12">
      <c r="A7" s="6"/>
      <c r="B7" s="67"/>
      <c r="C7" s="67"/>
      <c r="D7" s="67"/>
      <c r="E7" s="5"/>
      <c r="F7" s="5"/>
      <c r="G7" s="8"/>
      <c r="H7" s="67"/>
      <c r="I7" s="67"/>
      <c r="J7" s="67"/>
      <c r="K7" s="67"/>
      <c r="L7" s="67"/>
    </row>
    <row r="8" spans="1:12">
      <c r="A8" s="6"/>
      <c r="B8" s="67"/>
      <c r="C8" s="67"/>
      <c r="D8" s="67"/>
      <c r="E8" s="5"/>
      <c r="F8" s="5"/>
      <c r="G8" s="8"/>
      <c r="H8" s="67"/>
      <c r="I8" s="67"/>
      <c r="J8" s="67"/>
      <c r="K8" s="67"/>
      <c r="L8" s="67"/>
    </row>
    <row r="9" spans="1:12">
      <c r="A9" s="6"/>
      <c r="B9" s="67"/>
      <c r="C9" s="67"/>
      <c r="D9" s="67"/>
      <c r="E9" s="5"/>
      <c r="F9" s="5"/>
      <c r="G9" s="8"/>
      <c r="H9" s="67"/>
      <c r="I9" s="67"/>
      <c r="J9" s="67"/>
      <c r="K9" s="67"/>
      <c r="L9" s="67"/>
    </row>
    <row r="10" spans="1:12">
      <c r="A10" s="6"/>
      <c r="B10" s="67"/>
      <c r="C10" s="67"/>
      <c r="D10" s="67"/>
      <c r="E10" s="5"/>
      <c r="F10" s="5"/>
      <c r="G10" s="8"/>
      <c r="H10" s="67"/>
      <c r="I10" s="67"/>
      <c r="J10" s="67"/>
      <c r="K10" s="67"/>
      <c r="L10" s="67"/>
    </row>
    <row r="11" spans="1:12">
      <c r="A11" s="6"/>
      <c r="B11" s="67"/>
      <c r="C11" s="67"/>
      <c r="D11" s="67"/>
      <c r="E11" s="5"/>
      <c r="F11" s="5"/>
      <c r="G11" s="8"/>
      <c r="H11" s="67"/>
      <c r="I11" s="67"/>
      <c r="J11" s="67"/>
      <c r="K11" s="67"/>
      <c r="L11" s="67"/>
    </row>
    <row r="12" spans="1:12">
      <c r="A12" s="6"/>
      <c r="B12" s="67"/>
      <c r="C12" s="67"/>
      <c r="D12" s="67"/>
      <c r="E12" s="5"/>
      <c r="F12" s="5"/>
      <c r="G12" s="8"/>
      <c r="H12" s="67"/>
      <c r="I12" s="67"/>
      <c r="J12" s="67"/>
      <c r="K12" s="67"/>
      <c r="L12" s="67"/>
    </row>
    <row r="13" spans="1:12">
      <c r="A13" s="6"/>
      <c r="B13" s="67"/>
      <c r="C13" s="67"/>
      <c r="D13" s="67"/>
      <c r="E13" s="5"/>
      <c r="F13" s="5"/>
      <c r="G13" s="8"/>
      <c r="H13" s="67"/>
      <c r="I13" s="67"/>
      <c r="J13" s="67"/>
      <c r="K13" s="67"/>
      <c r="L13" s="67"/>
    </row>
    <row r="14" spans="1:12">
      <c r="A14" s="6"/>
      <c r="B14" s="67"/>
      <c r="C14" s="67"/>
      <c r="D14" s="67"/>
      <c r="E14" s="5"/>
      <c r="F14" s="5"/>
      <c r="G14" s="8"/>
      <c r="H14" s="67"/>
      <c r="I14" s="67"/>
      <c r="J14" s="67"/>
      <c r="K14" s="67"/>
      <c r="L14" s="67"/>
    </row>
    <row r="15" spans="1:12">
      <c r="A15" s="6"/>
      <c r="B15" s="67"/>
      <c r="C15" s="67"/>
      <c r="D15" s="67"/>
      <c r="E15" s="5"/>
      <c r="F15" s="5"/>
      <c r="G15" s="8"/>
      <c r="H15" s="67"/>
      <c r="I15" s="67"/>
      <c r="J15" s="12"/>
      <c r="K15" s="9"/>
      <c r="L15" s="67"/>
    </row>
    <row r="16" spans="1:12">
      <c r="A16" s="6"/>
      <c r="B16" s="67"/>
      <c r="C16" s="67"/>
      <c r="D16" s="67"/>
      <c r="E16" s="5"/>
      <c r="F16" s="5"/>
      <c r="G16" s="8"/>
      <c r="H16" s="67"/>
      <c r="I16" s="67"/>
      <c r="J16" s="67"/>
      <c r="K16" s="67"/>
      <c r="L16" s="67"/>
    </row>
    <row r="17" spans="1:7">
      <c r="A17" s="6"/>
      <c r="B17" s="67"/>
      <c r="C17" s="67"/>
      <c r="D17" s="67"/>
      <c r="E17" s="5"/>
      <c r="F17" s="5"/>
      <c r="G17" s="8"/>
    </row>
    <row r="18" spans="1:7">
      <c r="A18" s="6"/>
      <c r="B18" s="67"/>
      <c r="C18" s="67"/>
      <c r="D18" s="67"/>
      <c r="E18" s="5"/>
      <c r="F18" s="5"/>
      <c r="G18" s="8"/>
    </row>
    <row r="19" spans="1:7">
      <c r="A19" s="6"/>
      <c r="B19" s="67"/>
      <c r="C19" s="67"/>
      <c r="D19" s="67"/>
      <c r="E19" s="5"/>
      <c r="F19" s="5"/>
      <c r="G19" s="8"/>
    </row>
    <row r="20" spans="1:7">
      <c r="A20" s="6"/>
      <c r="B20" s="67"/>
      <c r="C20" s="67"/>
      <c r="D20" s="67"/>
      <c r="E20" s="5"/>
      <c r="F20" s="5"/>
      <c r="G20" s="8"/>
    </row>
    <row r="21" spans="1:7">
      <c r="A21" s="6"/>
      <c r="B21" s="67"/>
      <c r="C21" s="67"/>
      <c r="D21" s="67"/>
      <c r="E21" s="5"/>
      <c r="F21" s="5"/>
      <c r="G21" s="8"/>
    </row>
    <row r="22" spans="1:7">
      <c r="A22" s="6"/>
      <c r="B22" s="67"/>
      <c r="C22" s="67"/>
      <c r="D22" s="67"/>
      <c r="E22" s="5"/>
      <c r="F22" s="5"/>
      <c r="G22" s="8"/>
    </row>
    <row r="23" spans="1:7">
      <c r="A23" s="6"/>
      <c r="B23" s="67"/>
      <c r="C23" s="67"/>
      <c r="D23" s="67"/>
      <c r="E23" s="5"/>
      <c r="F23" s="5"/>
      <c r="G23" s="8"/>
    </row>
    <row r="24" spans="1:7">
      <c r="A24" s="6"/>
      <c r="B24" s="67"/>
      <c r="C24" s="67"/>
      <c r="D24" s="67"/>
      <c r="E24" s="5"/>
      <c r="F24" s="5"/>
      <c r="G24" s="8"/>
    </row>
    <row r="25" spans="1:7">
      <c r="A25" s="6"/>
      <c r="B25" s="67"/>
      <c r="C25" s="67"/>
      <c r="D25" s="67"/>
      <c r="E25" s="5"/>
      <c r="F25" s="5"/>
      <c r="G25" s="8"/>
    </row>
    <row r="26" spans="1:7">
      <c r="A26" s="6"/>
      <c r="B26" s="67"/>
      <c r="C26" s="67"/>
      <c r="D26" s="67"/>
      <c r="E26" s="5"/>
      <c r="F26" s="5"/>
      <c r="G26" s="8"/>
    </row>
    <row r="27" spans="1:7">
      <c r="A27" s="6"/>
      <c r="B27" s="67"/>
      <c r="C27" s="67"/>
      <c r="D27" s="67"/>
      <c r="E27" s="5"/>
      <c r="F27" s="5"/>
      <c r="G27" s="8"/>
    </row>
    <row r="28" spans="1:7">
      <c r="A28" s="6"/>
      <c r="B28" s="67"/>
      <c r="C28" s="67"/>
      <c r="D28" s="67"/>
      <c r="E28" s="5"/>
      <c r="F28" s="5"/>
      <c r="G28" s="8"/>
    </row>
    <row r="29" spans="1:7">
      <c r="A29" s="6"/>
      <c r="B29" s="67"/>
      <c r="C29" s="67"/>
      <c r="D29" s="67"/>
      <c r="E29" s="5"/>
      <c r="F29" s="5"/>
      <c r="G29" s="8"/>
    </row>
    <row r="30" spans="1:7">
      <c r="A30" s="6"/>
      <c r="B30" s="67"/>
      <c r="C30" s="67"/>
      <c r="D30" s="67"/>
      <c r="E30" s="5"/>
      <c r="F30" s="5"/>
      <c r="G30" s="8"/>
    </row>
    <row r="31" spans="1:7">
      <c r="A31" s="6"/>
      <c r="B31" s="67"/>
      <c r="C31" s="67"/>
      <c r="D31" s="67"/>
      <c r="E31" s="5"/>
      <c r="F31" s="5"/>
      <c r="G31" s="8"/>
    </row>
    <row r="32" spans="1:7">
      <c r="A32" s="6"/>
      <c r="B32" s="67"/>
      <c r="C32" s="67"/>
      <c r="D32" s="67"/>
      <c r="E32" s="5"/>
      <c r="F32" s="5"/>
      <c r="G32" s="8"/>
    </row>
    <row r="33" spans="1:8">
      <c r="A33" s="6"/>
      <c r="B33" s="67"/>
      <c r="C33" s="67"/>
      <c r="D33" s="67"/>
      <c r="E33" s="5"/>
      <c r="F33" s="5"/>
      <c r="G33" s="8"/>
      <c r="H33" s="12"/>
    </row>
    <row r="34" spans="1:8">
      <c r="A34" s="6"/>
      <c r="B34" s="67"/>
      <c r="C34" s="67"/>
      <c r="D34" s="67"/>
      <c r="E34" s="5"/>
      <c r="F34" s="5"/>
      <c r="G34" s="8"/>
      <c r="H34" s="67"/>
    </row>
    <row r="35" spans="1:8">
      <c r="A35" s="6"/>
      <c r="B35" s="67"/>
      <c r="C35" s="67"/>
      <c r="D35" s="67"/>
      <c r="E35" s="5"/>
      <c r="F35" s="5"/>
      <c r="G35" s="8"/>
      <c r="H35" s="67"/>
    </row>
    <row r="36" spans="1:8">
      <c r="A36" s="6"/>
      <c r="B36" s="67"/>
      <c r="C36" s="67"/>
      <c r="D36" s="67"/>
      <c r="E36" s="5"/>
      <c r="F36" s="5"/>
      <c r="G36" s="8"/>
      <c r="H36" s="67"/>
    </row>
    <row r="37" spans="1:8">
      <c r="A37" s="6"/>
      <c r="B37" s="67"/>
      <c r="C37" s="67"/>
      <c r="D37" s="67"/>
      <c r="E37" s="5"/>
      <c r="F37" s="5"/>
      <c r="G37" s="8"/>
      <c r="H37" s="67"/>
    </row>
    <row r="38" spans="1:8">
      <c r="A38" s="6"/>
      <c r="B38" s="67"/>
      <c r="C38" s="67"/>
      <c r="D38" s="67"/>
      <c r="E38" s="5"/>
      <c r="F38" s="5"/>
      <c r="G38" s="8"/>
      <c r="H38" s="67"/>
    </row>
    <row r="39" spans="1:8">
      <c r="A39" s="6"/>
      <c r="B39" s="67"/>
      <c r="C39" s="67"/>
      <c r="D39" s="67"/>
      <c r="E39" s="5"/>
      <c r="F39" s="5"/>
      <c r="G39" s="8"/>
      <c r="H39" s="67"/>
    </row>
    <row r="40" spans="1:8">
      <c r="A40" s="6"/>
      <c r="B40" s="67"/>
      <c r="C40" s="67"/>
      <c r="D40" s="67"/>
      <c r="E40" s="5"/>
      <c r="F40" s="5"/>
      <c r="G40" s="8"/>
      <c r="H40" s="67"/>
    </row>
    <row r="41" spans="1:8">
      <c r="A41" s="6"/>
      <c r="B41" s="67"/>
      <c r="C41" s="67"/>
      <c r="D41" s="67"/>
      <c r="E41" s="5"/>
      <c r="F41" s="5"/>
      <c r="G41" s="8"/>
      <c r="H41" s="67"/>
    </row>
    <row r="42" spans="1:8">
      <c r="A42" s="6"/>
      <c r="B42" s="67"/>
      <c r="C42" s="67"/>
      <c r="D42" s="67"/>
      <c r="E42" s="5"/>
      <c r="F42" s="5"/>
      <c r="G42" s="8"/>
      <c r="H42" s="67"/>
    </row>
    <row r="43" spans="1:8">
      <c r="A43" s="6"/>
      <c r="B43" s="67"/>
      <c r="C43" s="67"/>
      <c r="D43" s="67"/>
      <c r="E43" s="5"/>
      <c r="F43" s="5"/>
      <c r="G43" s="8"/>
      <c r="H43" s="67"/>
    </row>
    <row r="44" spans="1:8">
      <c r="A44" s="6"/>
      <c r="B44" s="67"/>
      <c r="C44" s="67"/>
      <c r="D44" s="67"/>
      <c r="E44" s="5"/>
      <c r="F44" s="5"/>
      <c r="G44" s="8"/>
      <c r="H44" s="67"/>
    </row>
    <row r="45" spans="1:8">
      <c r="A45" s="6"/>
      <c r="B45" s="67"/>
      <c r="C45" s="67"/>
      <c r="D45" s="67"/>
      <c r="E45" s="5"/>
      <c r="F45" s="5"/>
      <c r="G45" s="8"/>
      <c r="H45" s="67"/>
    </row>
    <row r="46" spans="1:8">
      <c r="A46" s="6"/>
      <c r="B46" s="67"/>
      <c r="C46" s="67"/>
      <c r="D46" s="67"/>
      <c r="E46" s="5"/>
      <c r="F46" s="5"/>
      <c r="G46" s="8"/>
      <c r="H46" s="67"/>
    </row>
    <row r="47" spans="1:8">
      <c r="A47" s="6"/>
      <c r="B47" s="67"/>
      <c r="C47" s="67"/>
      <c r="D47" s="67"/>
      <c r="E47" s="5"/>
      <c r="F47" s="5"/>
      <c r="G47" s="8"/>
      <c r="H47" s="67"/>
    </row>
    <row r="48" spans="1:8">
      <c r="A48" s="6"/>
      <c r="B48" s="67"/>
      <c r="C48" s="67"/>
      <c r="D48" s="67"/>
      <c r="E48" s="5"/>
      <c r="F48" s="5"/>
      <c r="G48" s="8"/>
      <c r="H48" s="67"/>
    </row>
    <row r="49" spans="1:10">
      <c r="A49" s="6"/>
      <c r="B49" s="67"/>
      <c r="C49" s="67"/>
      <c r="D49" s="67"/>
      <c r="E49" s="5"/>
      <c r="F49" s="5"/>
      <c r="G49" s="8"/>
      <c r="H49" s="67"/>
      <c r="I49" s="67"/>
      <c r="J49" s="67"/>
    </row>
    <row r="50" spans="1:10">
      <c r="A50" s="6"/>
      <c r="B50" s="67"/>
      <c r="C50" s="67"/>
      <c r="D50" s="67"/>
      <c r="E50" s="5"/>
      <c r="F50" s="5"/>
      <c r="G50" s="8"/>
      <c r="H50" s="67"/>
      <c r="I50" s="67"/>
      <c r="J50" s="67"/>
    </row>
    <row r="51" spans="1:10">
      <c r="A51" s="6"/>
      <c r="B51" s="67">
        <f t="shared" ref="B45:B58" si="0">B50+1</f>
        <v>1</v>
      </c>
      <c r="C51" s="67" t="s">
        <v>249</v>
      </c>
      <c r="D51" s="67" t="s">
        <v>250</v>
      </c>
      <c r="E51" s="5"/>
      <c r="F51" s="5">
        <f>Route66Table[[#This Row],[Milhas]]*1.60934</f>
        <v>0</v>
      </c>
      <c r="G51" s="8"/>
      <c r="H51" s="67" t="s">
        <v>251</v>
      </c>
      <c r="I51" s="67"/>
      <c r="J51" s="67"/>
    </row>
    <row r="52" spans="1:10">
      <c r="A52" s="6"/>
      <c r="B52" s="67">
        <f t="shared" si="0"/>
        <v>2</v>
      </c>
      <c r="C52" s="67" t="s">
        <v>252</v>
      </c>
      <c r="D52" s="67" t="s">
        <v>250</v>
      </c>
      <c r="E52" s="5"/>
      <c r="F52" s="5">
        <f>Route66Table[[#This Row],[Milhas]]*1.60934</f>
        <v>0</v>
      </c>
      <c r="G52" s="8"/>
      <c r="H52" s="67" t="s">
        <v>253</v>
      </c>
      <c r="I52" s="67"/>
      <c r="J52" s="67"/>
    </row>
    <row r="53" spans="1:10">
      <c r="A53" s="6"/>
      <c r="B53" s="67">
        <f t="shared" si="0"/>
        <v>3</v>
      </c>
      <c r="C53" s="67" t="s">
        <v>254</v>
      </c>
      <c r="D53" s="67" t="s">
        <v>250</v>
      </c>
      <c r="E53" s="5"/>
      <c r="F53" s="5">
        <f>Route66Table[[#This Row],[Milhas]]*1.60934</f>
        <v>0</v>
      </c>
      <c r="G53" s="8"/>
      <c r="H53" s="67" t="s">
        <v>255</v>
      </c>
      <c r="I53" s="67"/>
      <c r="J53" s="67"/>
    </row>
    <row r="54" spans="1:10">
      <c r="A54" s="6"/>
      <c r="B54" s="67">
        <f t="shared" si="0"/>
        <v>4</v>
      </c>
      <c r="C54" s="67" t="s">
        <v>256</v>
      </c>
      <c r="D54" s="67" t="s">
        <v>250</v>
      </c>
      <c r="E54" s="5"/>
      <c r="F54" s="5">
        <f>Route66Table[[#This Row],[Milhas]]*1.60934</f>
        <v>0</v>
      </c>
      <c r="G54" s="8"/>
      <c r="H54" s="67" t="s">
        <v>257</v>
      </c>
      <c r="I54" s="67"/>
      <c r="J54" s="67"/>
    </row>
    <row r="55" spans="1:10">
      <c r="A55" s="6"/>
      <c r="B55" s="67">
        <f t="shared" si="0"/>
        <v>5</v>
      </c>
      <c r="C55" s="67" t="s">
        <v>258</v>
      </c>
      <c r="D55" s="67" t="s">
        <v>250</v>
      </c>
      <c r="E55" s="5"/>
      <c r="F55" s="5">
        <f>Route66Table[[#This Row],[Milhas]]*1.60934</f>
        <v>0</v>
      </c>
      <c r="G55" s="8"/>
      <c r="H55" s="67" t="s">
        <v>259</v>
      </c>
      <c r="I55" s="67"/>
      <c r="J55" s="67"/>
    </row>
    <row r="56" spans="1:10">
      <c r="A56" s="6"/>
      <c r="B56" s="67">
        <f t="shared" si="0"/>
        <v>6</v>
      </c>
      <c r="C56" s="67" t="s">
        <v>260</v>
      </c>
      <c r="D56" s="67" t="s">
        <v>250</v>
      </c>
      <c r="E56" s="5"/>
      <c r="F56" s="5">
        <f>Route66Table[[#This Row],[Milhas]]*1.60934</f>
        <v>0</v>
      </c>
      <c r="G56" s="8"/>
      <c r="H56" s="67" t="s">
        <v>261</v>
      </c>
      <c r="I56" s="67"/>
      <c r="J56" s="67"/>
    </row>
    <row r="57" spans="1:10">
      <c r="A57" s="6"/>
      <c r="B57" s="67">
        <f t="shared" si="0"/>
        <v>7</v>
      </c>
      <c r="C57" s="67" t="s">
        <v>262</v>
      </c>
      <c r="D57" s="67" t="s">
        <v>250</v>
      </c>
      <c r="E57" s="5"/>
      <c r="F57" s="5">
        <f>Route66Table[[#This Row],[Milhas]]*1.60934</f>
        <v>0</v>
      </c>
      <c r="G57" s="8"/>
      <c r="H57" s="67" t="s">
        <v>263</v>
      </c>
      <c r="I57" s="67"/>
      <c r="J57" s="67"/>
    </row>
    <row r="58" spans="1:10">
      <c r="A58" s="6"/>
      <c r="B58" s="67">
        <f t="shared" si="0"/>
        <v>8</v>
      </c>
      <c r="C58" s="67" t="s">
        <v>262</v>
      </c>
      <c r="D58" s="67" t="s">
        <v>250</v>
      </c>
      <c r="E58" s="5"/>
      <c r="F58" s="5">
        <f>Route66Table[[#This Row],[Milhas]]*1.60934</f>
        <v>0</v>
      </c>
      <c r="G58" s="8"/>
      <c r="H58" s="67" t="s">
        <v>264</v>
      </c>
      <c r="I58" s="67" t="s">
        <v>265</v>
      </c>
      <c r="J58" s="67" t="s">
        <v>266</v>
      </c>
    </row>
  </sheetData>
  <mergeCells count="1">
    <mergeCell ref="A1:G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34377-C4ED-4B4C-AF9D-9E3107084D97}">
  <dimension ref="A1:J23"/>
  <sheetViews>
    <sheetView topLeftCell="B1" zoomScale="140" zoomScaleNormal="140" workbookViewId="0">
      <selection activeCell="C8" sqref="C8:G8"/>
    </sheetView>
  </sheetViews>
  <sheetFormatPr defaultColWidth="11" defaultRowHeight="14.1"/>
  <cols>
    <col min="3" max="3" width="42.875" customWidth="1"/>
    <col min="4" max="5" width="14.5" customWidth="1"/>
    <col min="6" max="6" width="61.375" bestFit="1" customWidth="1"/>
    <col min="7" max="7" width="40.125" customWidth="1"/>
    <col min="8" max="8" width="11.5" customWidth="1"/>
    <col min="9" max="9" width="11" customWidth="1"/>
    <col min="10" max="10" width="23.625" customWidth="1"/>
  </cols>
  <sheetData>
    <row r="1" spans="1:10">
      <c r="A1" s="67" t="s">
        <v>267</v>
      </c>
      <c r="B1" s="67" t="s">
        <v>268</v>
      </c>
      <c r="C1" s="67" t="s">
        <v>269</v>
      </c>
      <c r="D1" s="67" t="s">
        <v>270</v>
      </c>
      <c r="E1" s="67" t="s">
        <v>271</v>
      </c>
      <c r="F1" s="67" t="s">
        <v>4</v>
      </c>
      <c r="G1" s="67" t="s">
        <v>272</v>
      </c>
      <c r="H1" s="67" t="s">
        <v>273</v>
      </c>
      <c r="I1" s="67" t="s">
        <v>274</v>
      </c>
      <c r="J1" s="67" t="s">
        <v>275</v>
      </c>
    </row>
    <row r="2" spans="1:10" ht="15">
      <c r="A2" s="67" t="s">
        <v>276</v>
      </c>
      <c r="B2" s="67" t="s">
        <v>277</v>
      </c>
      <c r="C2" s="67" t="s">
        <v>14</v>
      </c>
      <c r="D2" s="67" t="s">
        <v>7</v>
      </c>
      <c r="E2" s="67" t="s">
        <v>8</v>
      </c>
      <c r="F2" s="2" t="s">
        <v>15</v>
      </c>
      <c r="G2" s="12" t="s">
        <v>16</v>
      </c>
      <c r="H2" s="12"/>
      <c r="I2" s="64">
        <v>368.64</v>
      </c>
      <c r="J2" s="67" t="s">
        <v>278</v>
      </c>
    </row>
    <row r="3" spans="1:10">
      <c r="A3" s="67" t="s">
        <v>279</v>
      </c>
      <c r="B3" s="67" t="s">
        <v>280</v>
      </c>
      <c r="C3" s="67" t="s">
        <v>37</v>
      </c>
      <c r="D3" s="67" t="s">
        <v>38</v>
      </c>
      <c r="E3" s="67" t="s">
        <v>8</v>
      </c>
      <c r="F3" s="67" t="s">
        <v>39</v>
      </c>
      <c r="G3" s="67" t="s">
        <v>40</v>
      </c>
      <c r="H3" s="65">
        <v>78.06</v>
      </c>
      <c r="I3" s="67"/>
      <c r="J3" s="67" t="s">
        <v>281</v>
      </c>
    </row>
    <row r="4" spans="1:10">
      <c r="A4" s="67" t="s">
        <v>282</v>
      </c>
      <c r="B4" s="67" t="s">
        <v>282</v>
      </c>
      <c r="C4" s="67" t="s">
        <v>69</v>
      </c>
      <c r="D4" s="67" t="s">
        <v>66</v>
      </c>
      <c r="E4" s="67" t="s">
        <v>43</v>
      </c>
      <c r="F4" s="67" t="s">
        <v>70</v>
      </c>
      <c r="G4" s="67" t="s">
        <v>71</v>
      </c>
      <c r="H4" s="65">
        <v>86.94</v>
      </c>
      <c r="I4" s="67"/>
      <c r="J4" s="67" t="s">
        <v>281</v>
      </c>
    </row>
    <row r="5" spans="1:10">
      <c r="A5" s="67"/>
      <c r="B5" s="67" t="s">
        <v>283</v>
      </c>
      <c r="C5" s="67" t="s">
        <v>94</v>
      </c>
      <c r="D5" s="67" t="s">
        <v>95</v>
      </c>
      <c r="E5" s="67" t="s">
        <v>79</v>
      </c>
      <c r="F5" s="67" t="s">
        <v>96</v>
      </c>
      <c r="G5" s="67" t="s">
        <v>97</v>
      </c>
      <c r="H5" s="65">
        <v>59.2</v>
      </c>
      <c r="I5" s="67"/>
      <c r="J5" s="67" t="s">
        <v>281</v>
      </c>
    </row>
    <row r="6" spans="1:10">
      <c r="A6" s="67"/>
      <c r="B6" s="67" t="s">
        <v>284</v>
      </c>
      <c r="C6" s="67" t="s">
        <v>132</v>
      </c>
      <c r="D6" s="67" t="s">
        <v>133</v>
      </c>
      <c r="E6" s="67" t="s">
        <v>121</v>
      </c>
      <c r="F6" s="67" t="s">
        <v>134</v>
      </c>
      <c r="G6" s="67" t="s">
        <v>135</v>
      </c>
      <c r="H6" s="65">
        <v>77.7</v>
      </c>
      <c r="I6" s="67"/>
      <c r="J6" s="67" t="s">
        <v>281</v>
      </c>
    </row>
    <row r="7" spans="1:10">
      <c r="A7" s="67"/>
      <c r="B7" s="67" t="s">
        <v>285</v>
      </c>
      <c r="C7" s="67" t="s">
        <v>160</v>
      </c>
      <c r="D7" s="67" t="s">
        <v>157</v>
      </c>
      <c r="E7" s="67" t="s">
        <v>142</v>
      </c>
      <c r="F7" s="67" t="s">
        <v>161</v>
      </c>
      <c r="G7" s="67" t="s">
        <v>162</v>
      </c>
      <c r="H7" s="65">
        <v>80.2</v>
      </c>
      <c r="I7" s="67"/>
      <c r="J7" s="67" t="s">
        <v>281</v>
      </c>
    </row>
    <row r="8" spans="1:10">
      <c r="A8" s="67"/>
      <c r="B8" s="67" t="s">
        <v>286</v>
      </c>
      <c r="C8" s="67" t="s">
        <v>287</v>
      </c>
      <c r="D8" s="67" t="s">
        <v>176</v>
      </c>
      <c r="E8" s="67" t="s">
        <v>177</v>
      </c>
      <c r="F8" s="67" t="s">
        <v>180</v>
      </c>
      <c r="G8" s="67" t="s">
        <v>181</v>
      </c>
      <c r="H8" s="65">
        <v>146.84</v>
      </c>
      <c r="I8" s="67"/>
      <c r="J8" s="67" t="s">
        <v>281</v>
      </c>
    </row>
    <row r="9" spans="1:10">
      <c r="A9" s="67"/>
      <c r="B9" s="67"/>
      <c r="C9" s="67"/>
      <c r="D9" s="67"/>
      <c r="E9" s="67"/>
      <c r="F9" s="67"/>
      <c r="G9" s="67"/>
      <c r="H9" s="65"/>
      <c r="I9" s="67"/>
      <c r="J9" s="67"/>
    </row>
    <row r="10" spans="1:10">
      <c r="A10" s="67"/>
      <c r="B10" s="67"/>
      <c r="C10" s="67"/>
      <c r="D10" s="67"/>
      <c r="E10" s="67"/>
      <c r="F10" s="67"/>
      <c r="G10" s="67"/>
      <c r="H10" s="65"/>
      <c r="I10" s="67"/>
      <c r="J10" s="67"/>
    </row>
    <row r="11" spans="1:10">
      <c r="A11" s="67"/>
      <c r="B11" s="67"/>
      <c r="C11" s="67"/>
      <c r="D11" s="67"/>
      <c r="E11" s="67"/>
      <c r="F11" s="67"/>
      <c r="G11" s="67"/>
      <c r="H11" s="65"/>
      <c r="I11" s="67"/>
      <c r="J11" s="67"/>
    </row>
    <row r="12" spans="1:10">
      <c r="A12" s="67"/>
      <c r="B12" s="67"/>
      <c r="C12" s="67"/>
      <c r="D12" s="67"/>
      <c r="E12" s="67"/>
      <c r="F12" s="67"/>
      <c r="G12" s="67"/>
      <c r="H12" s="65"/>
      <c r="I12" s="67"/>
      <c r="J12" s="67"/>
    </row>
    <row r="13" spans="1:10">
      <c r="A13" s="67"/>
      <c r="B13" s="67"/>
      <c r="C13" s="67"/>
      <c r="D13" s="67"/>
      <c r="E13" s="67"/>
      <c r="F13" s="67"/>
      <c r="G13" s="67"/>
      <c r="H13" s="65"/>
      <c r="I13" s="67"/>
      <c r="J13" s="67"/>
    </row>
    <row r="14" spans="1:10">
      <c r="A14" s="67"/>
      <c r="B14" s="67"/>
      <c r="C14" s="67"/>
      <c r="D14" s="67"/>
      <c r="E14" s="67"/>
      <c r="F14" s="67"/>
      <c r="G14" s="67"/>
      <c r="H14" s="65"/>
      <c r="I14" s="67"/>
      <c r="J14" s="67"/>
    </row>
    <row r="15" spans="1:10">
      <c r="A15" s="67"/>
      <c r="B15" s="67"/>
      <c r="C15" s="67"/>
      <c r="D15" s="67"/>
      <c r="E15" s="67"/>
      <c r="F15" s="67"/>
      <c r="G15" s="67"/>
      <c r="H15" s="65"/>
      <c r="I15" s="67"/>
      <c r="J15" s="67"/>
    </row>
    <row r="16" spans="1:10">
      <c r="A16" s="67"/>
      <c r="B16" s="67"/>
      <c r="C16" s="67"/>
      <c r="D16" s="67"/>
      <c r="E16" s="67"/>
      <c r="F16" s="67"/>
      <c r="G16" s="67"/>
      <c r="H16" s="65"/>
      <c r="I16" s="67"/>
      <c r="J16" s="67"/>
    </row>
    <row r="17" spans="8:8">
      <c r="H17" s="65"/>
    </row>
    <row r="18" spans="8:8">
      <c r="H18" s="65"/>
    </row>
    <row r="19" spans="8:8">
      <c r="H19" s="65"/>
    </row>
    <row r="20" spans="8:8">
      <c r="H20" s="65"/>
    </row>
    <row r="21" spans="8:8">
      <c r="H21" s="65"/>
    </row>
    <row r="22" spans="8:8">
      <c r="H22" s="65"/>
    </row>
    <row r="23" spans="8:8">
      <c r="H23" s="65"/>
    </row>
  </sheetData>
  <phoneticPr fontId="12" type="noConversion"/>
  <hyperlinks>
    <hyperlink ref="G2" r:id="rId1" xr:uid="{AD49ABBA-AFF6-CF48-A89A-35E86EB9D779}"/>
    <hyperlink ref="G3" r:id="rId2" xr:uid="{143E2EED-480A-A142-8698-9FD1803DA1E5}"/>
    <hyperlink ref="G4" r:id="rId3" xr:uid="{C5371661-3433-D044-9C5D-DCFCB99D2BEC}"/>
    <hyperlink ref="G5" r:id="rId4" xr:uid="{A510EAA8-EF06-EC42-A9F3-6363602184C8}"/>
    <hyperlink ref="G7" r:id="rId5" xr:uid="{A8EA0598-9AAB-A945-B23A-E803F25A87BC}"/>
  </hyperlinks>
  <pageMargins left="0.7" right="0.7" top="0.75" bottom="0.75" header="0.3" footer="0.3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2A062-2FB1-3B4F-A55C-3AE8416ED7B9}">
  <dimension ref="A1:D9"/>
  <sheetViews>
    <sheetView workbookViewId="0">
      <selection activeCell="C5" sqref="C5"/>
    </sheetView>
  </sheetViews>
  <sheetFormatPr defaultColWidth="11" defaultRowHeight="14.1"/>
  <cols>
    <col min="2" max="2" width="11.5" bestFit="1" customWidth="1"/>
    <col min="3" max="3" width="32.625" bestFit="1" customWidth="1"/>
    <col min="4" max="4" width="75.125" bestFit="1" customWidth="1"/>
  </cols>
  <sheetData>
    <row r="1" spans="1:4">
      <c r="A1" s="67" t="s">
        <v>239</v>
      </c>
      <c r="B1" s="67" t="s">
        <v>2</v>
      </c>
      <c r="C1" s="67" t="s">
        <v>1</v>
      </c>
      <c r="D1" s="67" t="s">
        <v>288</v>
      </c>
    </row>
    <row r="2" spans="1:4">
      <c r="A2" s="67">
        <v>8</v>
      </c>
      <c r="B2" s="67" t="s">
        <v>7</v>
      </c>
      <c r="C2" s="67" t="s">
        <v>289</v>
      </c>
      <c r="D2" s="67" t="s">
        <v>290</v>
      </c>
    </row>
    <row r="3" spans="1:4">
      <c r="A3" s="67">
        <v>8</v>
      </c>
      <c r="B3" s="67" t="s">
        <v>291</v>
      </c>
      <c r="C3" s="67" t="s">
        <v>292</v>
      </c>
      <c r="D3" s="67" t="s">
        <v>293</v>
      </c>
    </row>
    <row r="4" spans="1:4">
      <c r="A4" s="67">
        <v>8</v>
      </c>
      <c r="B4" s="67" t="s">
        <v>7</v>
      </c>
      <c r="C4" s="67" t="s">
        <v>294</v>
      </c>
      <c r="D4" s="67" t="s">
        <v>295</v>
      </c>
    </row>
    <row r="5" spans="1:4">
      <c r="A5" s="67">
        <v>9</v>
      </c>
      <c r="B5" s="67" t="s">
        <v>38</v>
      </c>
      <c r="C5" s="67" t="s">
        <v>296</v>
      </c>
      <c r="D5" s="67" t="s">
        <v>297</v>
      </c>
    </row>
    <row r="6" spans="1:4">
      <c r="A6" s="67">
        <v>10</v>
      </c>
      <c r="B6" s="67" t="s">
        <v>66</v>
      </c>
      <c r="C6" s="67" t="s">
        <v>298</v>
      </c>
      <c r="D6" s="67" t="s">
        <v>299</v>
      </c>
    </row>
    <row r="7" spans="1:4">
      <c r="A7" s="67"/>
      <c r="B7" s="67" t="s">
        <v>133</v>
      </c>
      <c r="C7" s="12" t="s">
        <v>300</v>
      </c>
      <c r="D7" s="67" t="s">
        <v>301</v>
      </c>
    </row>
    <row r="9" spans="1:4">
      <c r="A9" s="67"/>
      <c r="B9" s="67" t="s">
        <v>302</v>
      </c>
      <c r="C9" s="12" t="s">
        <v>303</v>
      </c>
      <c r="D9" s="67" t="s">
        <v>304</v>
      </c>
    </row>
  </sheetData>
  <hyperlinks>
    <hyperlink ref="C7" r:id="rId1" xr:uid="{B5B4E789-E1D3-4DD5-BABD-091A68F2E0AA}"/>
    <hyperlink ref="C9" r:id="rId2" xr:uid="{28891A48-65FE-46D9-8F6F-9C4E830A4EC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2026-05-20T20:32:57Z</dcterms:created>
  <dcterms:modified xsi:type="dcterms:W3CDTF">2026-06-24T10:26:26Z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d3be33-4108-4738-9e07-d8656a181486_Enabled">
    <vt:lpwstr>true</vt:lpwstr>
  </property>
  <property fmtid="{D5CDD505-2E9C-101B-9397-08002B2CF9AE}" pid="3" name="MSIP_Label_dad3be33-4108-4738-9e07-d8656a181486_SetDate">
    <vt:lpwstr>2026-05-20T20:28:57Z</vt:lpwstr>
  </property>
  <property fmtid="{D5CDD505-2E9C-101B-9397-08002B2CF9AE}" pid="4" name="MSIP_Label_dad3be33-4108-4738-9e07-d8656a181486_Method">
    <vt:lpwstr>Privileged</vt:lpwstr>
  </property>
  <property fmtid="{D5CDD505-2E9C-101B-9397-08002B2CF9AE}" pid="5" name="MSIP_Label_dad3be33-4108-4738-9e07-d8656a181486_Name">
    <vt:lpwstr>Public No Visual Label</vt:lpwstr>
  </property>
  <property fmtid="{D5CDD505-2E9C-101B-9397-08002B2CF9AE}" pid="6" name="MSIP_Label_dad3be33-4108-4738-9e07-d8656a181486_SiteId">
    <vt:lpwstr>945c199a-83a2-4e80-9f8c-5a91be5752dd</vt:lpwstr>
  </property>
  <property fmtid="{D5CDD505-2E9C-101B-9397-08002B2CF9AE}" pid="7" name="MSIP_Label_dad3be33-4108-4738-9e07-d8656a181486_ActionId">
    <vt:lpwstr>8aaf2f22-7167-44a8-90f4-0e62ec7cf9cb</vt:lpwstr>
  </property>
  <property fmtid="{D5CDD505-2E9C-101B-9397-08002B2CF9AE}" pid="8" name="MSIP_Label_dad3be33-4108-4738-9e07-d8656a181486_ContentBits">
    <vt:lpwstr>0</vt:lpwstr>
  </property>
  <property fmtid="{D5CDD505-2E9C-101B-9397-08002B2CF9AE}" pid="9" name="MSIP_Label_dad3be33-4108-4738-9e07-d8656a181486_Tag">
    <vt:lpwstr>10, 0, 1, 1</vt:lpwstr>
  </property>
</Properties>
</file>